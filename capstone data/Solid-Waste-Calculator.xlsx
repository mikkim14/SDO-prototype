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user\Desktop\ongoing\Emmisions Template\"/>
    </mc:Choice>
  </mc:AlternateContent>
  <xr:revisionPtr revIDLastSave="0" documentId="13_ncr:1_{935FBE20-DC0B-4CC7-A211-3E0E3F617B41}" xr6:coauthVersionLast="47" xr6:coauthVersionMax="47" xr10:uidLastSave="{00000000-0000-0000-0000-000000000000}"/>
  <bookViews>
    <workbookView xWindow="-120" yWindow="-120" windowWidth="29040" windowHeight="15720" xr2:uid="{41911ADB-F1E1-475C-961D-D69C8AF79498}"/>
  </bookViews>
  <sheets>
    <sheet name="Notes" sheetId="6" r:id="rId1"/>
    <sheet name="Solid Waste Segregated" sheetId="1" r:id="rId2"/>
    <sheet name="Solid Waste Unsegregated" sheetId="5" r:id="rId3"/>
    <sheet name="DROPDOWN" sheetId="2" r:id="rId4"/>
    <sheet name="Sheet2" sheetId="4" r:id="rId5"/>
  </sheets>
  <definedNames>
    <definedName name="BIODEGRADABLE">DROPDOWN!$J$2:$J$4</definedName>
    <definedName name="campus">DROPDOWN!$A$2:$A$12</definedName>
    <definedName name="category">DROPDOWN!$B$2:$B$5</definedName>
    <definedName name="FuelType">DROPDOWN!#REF!</definedName>
    <definedName name="month">DROPDOWN!$C$2:$C$13</definedName>
    <definedName name="Municipal_Solid_Waste">DROPDOWN!$I$2:$I$3</definedName>
    <definedName name="plate">DROPDOWN!#REF!</definedName>
    <definedName name="RECYCLABLE">DROPDOWN!$K$2:$K$5</definedName>
    <definedName name="Special_Waste" localSheetId="2">Table12[Special_Waste]</definedName>
    <definedName name="Special_Waste">Table12[Special_Waste]</definedName>
    <definedName name="type">DROPDOWN!$G$2:$G$6</definedName>
    <definedName name="vehicle">DROPDOWN!#REF!</definedName>
    <definedName name="WaterCat">DROPDOWN!$B$3:$B$4</definedName>
    <definedName name="year">DROPDOWN!$F$2:$F$4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" i="1" l="1"/>
  <c r="C28" i="1"/>
  <c r="C29" i="1"/>
  <c r="C30" i="1"/>
  <c r="C31" i="1"/>
  <c r="C3" i="1"/>
  <c r="H8" i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J3" i="1"/>
  <c r="H3" i="1" s="1"/>
  <c r="J4" i="1"/>
  <c r="H4" i="1" s="1"/>
  <c r="J5" i="1"/>
  <c r="H5" i="1" s="1"/>
  <c r="J6" i="1"/>
  <c r="H6" i="1" s="1"/>
  <c r="J7" i="1"/>
  <c r="H7" i="1" s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C42" i="4"/>
  <c r="C41" i="4"/>
  <c r="C40" i="4"/>
  <c r="C39" i="4"/>
  <c r="C38" i="4"/>
  <c r="C37" i="4"/>
  <c r="C36" i="4"/>
  <c r="C35" i="4"/>
  <c r="C34" i="4"/>
  <c r="J18" i="2"/>
  <c r="J17" i="2"/>
  <c r="J14" i="2"/>
  <c r="J15" i="2"/>
  <c r="J16" i="2"/>
  <c r="J13" i="2"/>
  <c r="J11" i="2"/>
  <c r="J12" i="2"/>
  <c r="J10" i="2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I3" i="5"/>
  <c r="J3" i="5" s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G3" i="5"/>
  <c r="G4" i="5"/>
  <c r="G5" i="5"/>
  <c r="G6" i="5"/>
  <c r="G7" i="5"/>
  <c r="G8" i="5"/>
  <c r="G9" i="5"/>
  <c r="G10" i="5"/>
  <c r="L10" i="5" s="1"/>
  <c r="K10" i="5" s="1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I8" i="1"/>
  <c r="C26" i="1"/>
  <c r="C10" i="4"/>
  <c r="C9" i="4"/>
  <c r="C8" i="4"/>
  <c r="C7" i="4"/>
  <c r="C6" i="4"/>
  <c r="C5" i="4"/>
  <c r="C4" i="4"/>
  <c r="C3" i="4"/>
  <c r="C2" i="4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H1" i="1" l="1"/>
  <c r="I4" i="1"/>
  <c r="I6" i="1"/>
  <c r="I5" i="1"/>
  <c r="I7" i="1"/>
  <c r="I3" i="1"/>
  <c r="L8" i="5"/>
  <c r="K8" i="5" s="1"/>
  <c r="L20" i="5"/>
  <c r="K20" i="5" s="1"/>
  <c r="L4" i="5"/>
  <c r="K4" i="5" s="1"/>
  <c r="L17" i="5"/>
  <c r="K17" i="5" s="1"/>
  <c r="L14" i="5"/>
  <c r="K14" i="5" s="1"/>
  <c r="L31" i="5"/>
  <c r="K31" i="5" s="1"/>
  <c r="L15" i="5"/>
  <c r="K15" i="5" s="1"/>
  <c r="L12" i="5"/>
  <c r="K12" i="5" s="1"/>
  <c r="L26" i="5"/>
  <c r="K26" i="5" s="1"/>
  <c r="L24" i="5"/>
  <c r="K24" i="5" s="1"/>
  <c r="L13" i="5"/>
  <c r="K13" i="5" s="1"/>
  <c r="L28" i="5"/>
  <c r="K28" i="5" s="1"/>
  <c r="L9" i="5"/>
  <c r="K9" i="5" s="1"/>
  <c r="L25" i="5"/>
  <c r="K25" i="5" s="1"/>
  <c r="L16" i="5"/>
  <c r="K16" i="5" s="1"/>
  <c r="L27" i="5"/>
  <c r="K27" i="5" s="1"/>
  <c r="L11" i="5"/>
  <c r="K11" i="5" s="1"/>
  <c r="L23" i="5"/>
  <c r="K23" i="5" s="1"/>
  <c r="L7" i="5"/>
  <c r="K7" i="5" s="1"/>
  <c r="L19" i="5"/>
  <c r="K19" i="5" s="1"/>
  <c r="L3" i="5"/>
  <c r="K3" i="5" s="1"/>
  <c r="L30" i="5"/>
  <c r="K30" i="5" s="1"/>
  <c r="L29" i="5"/>
  <c r="K29" i="5" s="1"/>
  <c r="L21" i="5"/>
  <c r="K21" i="5" s="1"/>
  <c r="L18" i="5"/>
  <c r="K18" i="5" s="1"/>
  <c r="L5" i="5"/>
  <c r="K5" i="5" s="1"/>
  <c r="L6" i="5"/>
  <c r="K6" i="5" s="1"/>
  <c r="L22" i="5"/>
  <c r="K22" i="5" s="1"/>
  <c r="I1" i="1" l="1"/>
</calcChain>
</file>

<file path=xl/sharedStrings.xml><?xml version="1.0" encoding="utf-8"?>
<sst xmlns="http://schemas.openxmlformats.org/spreadsheetml/2006/main" count="201" uniqueCount="122">
  <si>
    <t>Campus</t>
  </si>
  <si>
    <t>Category</t>
  </si>
  <si>
    <t>Month</t>
  </si>
  <si>
    <t>Year</t>
  </si>
  <si>
    <t>Alangilan</t>
  </si>
  <si>
    <t>ARASOF-Nasugbu</t>
  </si>
  <si>
    <t>Balayan</t>
  </si>
  <si>
    <t>JPLPC-Malvar</t>
  </si>
  <si>
    <t>Lemery</t>
  </si>
  <si>
    <t>Lipa</t>
  </si>
  <si>
    <t>Lobo</t>
  </si>
  <si>
    <t>Mabini</t>
  </si>
  <si>
    <t>Pablo Borbon</t>
  </si>
  <si>
    <t>Rosario</t>
  </si>
  <si>
    <t>San Juan</t>
  </si>
  <si>
    <t>CENTRAL</t>
  </si>
  <si>
    <t>Quarter</t>
  </si>
  <si>
    <t>Quantity
(in kg)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</si>
  <si>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</si>
  <si>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</si>
  <si>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</si>
  <si>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</si>
  <si>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</si>
  <si>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</si>
  <si>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</si>
  <si>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</si>
  <si>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</si>
  <si>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</si>
  <si>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</si>
  <si>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</si>
  <si>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Waste Type</t>
  </si>
  <si>
    <t>Biodegradable</t>
  </si>
  <si>
    <t>Recyclable</t>
  </si>
  <si>
    <t>Residual</t>
  </si>
  <si>
    <t>Hazardous</t>
  </si>
  <si>
    <t>Municipal Solid Waste</t>
  </si>
  <si>
    <t>Special Waste</t>
  </si>
  <si>
    <t>Type</t>
  </si>
  <si>
    <t>Type2</t>
  </si>
  <si>
    <t>MSW_Type</t>
  </si>
  <si>
    <t>Food Waste</t>
  </si>
  <si>
    <t>Mixed Plastic</t>
  </si>
  <si>
    <t>Mixed Metal</t>
  </si>
  <si>
    <t>Mixed Paper</t>
  </si>
  <si>
    <t>process</t>
  </si>
  <si>
    <t>Recycled</t>
  </si>
  <si>
    <t>Landfilled</t>
  </si>
  <si>
    <t>Composted</t>
  </si>
  <si>
    <t>Special_Waste</t>
  </si>
  <si>
    <t>Q1</t>
  </si>
  <si>
    <t>Q2</t>
  </si>
  <si>
    <t>Q3</t>
  </si>
  <si>
    <t>Q4</t>
  </si>
  <si>
    <t>Mixed_Municipal_Solid_Waste</t>
  </si>
  <si>
    <t>Mixed Glass</t>
  </si>
  <si>
    <t>Garden Waste</t>
  </si>
  <si>
    <t>Mixed Food &amp; Garden Waste</t>
  </si>
  <si>
    <t>GHG Emission (kg CO2-e)</t>
  </si>
  <si>
    <t>ton</t>
  </si>
  <si>
    <t>kg</t>
  </si>
  <si>
    <t>reference:</t>
  </si>
  <si>
    <t>UNFCCC</t>
  </si>
  <si>
    <t>GHG Emission Calculator</t>
  </si>
  <si>
    <t>version 02.6</t>
  </si>
  <si>
    <t>Published September 2022</t>
  </si>
  <si>
    <r>
      <t>GHG Emission (</t>
    </r>
    <r>
      <rPr>
        <sz val="11"/>
        <rFont val="Calibri"/>
        <family val="2"/>
        <scheme val="minor"/>
      </rPr>
      <t>t</t>
    </r>
    <r>
      <rPr>
        <b/>
        <sz val="11"/>
        <rFont val="Calibri"/>
        <family val="2"/>
        <scheme val="minor"/>
      </rPr>
      <t xml:space="preserve"> CO2-e)</t>
    </r>
  </si>
  <si>
    <t>Mixed Municipal Solid Waste</t>
  </si>
  <si>
    <t>Sent to Landfill (in kg)</t>
  </si>
  <si>
    <t>Percentage</t>
  </si>
  <si>
    <t>Quantity
(in ton)</t>
  </si>
  <si>
    <t>Sent to Landfill (in ton)</t>
  </si>
  <si>
    <t>Cortes Aiza C. 2022.Greenhouse Gas Emissions Inventory of a University in the Philippines: The Case od UP Cebu 151 (3): 901-912, June 2022 ISSN 0031 - 7683 Philippine Journal of Science</t>
  </si>
  <si>
    <t>Jensen Jef, Pippati R. 2000. CH4 emissions from solid waste disposal. In: Good Practice Guidance and Uncertainty Management in National Greenhouse Gas Inventory. NGGIP Puclications. p.419-439</t>
  </si>
  <si>
    <t>Intergovernmental Panel on Climate Change</t>
  </si>
  <si>
    <r>
      <t>CE=MSW * MSW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* MCF * DOC * DOC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* F * 16/12-R * (1-OX)</t>
    </r>
  </si>
  <si>
    <t>CE</t>
  </si>
  <si>
    <t>Carbon Emissions</t>
  </si>
  <si>
    <t>MSW</t>
  </si>
  <si>
    <t>Total Volume of Solid Waste - in Tons</t>
  </si>
  <si>
    <t>MSWF</t>
  </si>
  <si>
    <t>Fraction of Solid Waste sent to Disposal Site</t>
  </si>
  <si>
    <t>MCF (0.8)</t>
  </si>
  <si>
    <t>Methane Correction Factor (set in the study of Cortez)</t>
  </si>
  <si>
    <t>Degradable Organic Carbon (set in the study of Cortez)</t>
  </si>
  <si>
    <t>DOC (0.25 tons C/ton)</t>
  </si>
  <si>
    <t>Fraction of DOC (set by IPCC default value)</t>
  </si>
  <si>
    <t>Fraction of CH4 in Landfill Gas (set in the study of Cortez)</t>
  </si>
  <si>
    <t>F (0.5)</t>
  </si>
  <si>
    <t>Recovered CH4 (IPCC default value)</t>
  </si>
  <si>
    <t>R (0)</t>
  </si>
  <si>
    <t>OX (0)</t>
  </si>
  <si>
    <t>Oxidation Factor (IPCC default value)</t>
  </si>
  <si>
    <r>
      <t>DOC</t>
    </r>
    <r>
      <rPr>
        <vertAlign val="sub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(0.5)</t>
    </r>
  </si>
  <si>
    <t>References:</t>
  </si>
  <si>
    <t>RecyclableMixed Plastic</t>
  </si>
  <si>
    <t>RecyclableMixed Metal</t>
  </si>
  <si>
    <t>RecyclableMixed Paper</t>
  </si>
  <si>
    <t>RecyclableMixed Glass</t>
  </si>
  <si>
    <t>Ton</t>
  </si>
  <si>
    <t>Kg</t>
  </si>
  <si>
    <t>Special_WasteSpecial Waste</t>
  </si>
  <si>
    <t>BiodegradableGarden Waste</t>
  </si>
  <si>
    <t>BiodegradableFood Waste</t>
  </si>
  <si>
    <t>BiodegradableMixed Food &amp; Garden Waste</t>
  </si>
  <si>
    <t>ResidualResidual</t>
  </si>
  <si>
    <t>concatenated</t>
  </si>
  <si>
    <t>GHG Emission (t CO2-e)</t>
  </si>
  <si>
    <t xml:space="preserve">Notes: </t>
  </si>
  <si>
    <t xml:space="preserve">4. The GHG emission will be automatically computed once the sheet has input. </t>
  </si>
  <si>
    <t xml:space="preserve">Please do not make any adjustment in the worksheets such as adding/deleting rows or columns. Thank you. </t>
  </si>
  <si>
    <t>1. The Solid Waste Generation GHG Calculator aims to measure the GHG emissions based on the monthly waste generation. The factor used in computing the CO2-equivalent is _____.</t>
  </si>
  <si>
    <t xml:space="preserve">2. There are 3 sheets in this workbook. 1-Notes 2- Solid Waste (Segregated) 3- Solid Waste (Unsegregated). We highly encouraged the campuses to segregate the waste. </t>
  </si>
  <si>
    <t xml:space="preserve">3. Your input shall be in Sheet 2 or Sheet 3 only. </t>
  </si>
  <si>
    <t xml:space="preserve">1. Waste should be categorized into biodegradable, recyclable, residual and special waste. </t>
  </si>
  <si>
    <t>2. There is another layer of categorization for biodegradable (garden waste, food waste and mixed of both) and recyclables (plastic, metal, paper, glass).</t>
  </si>
  <si>
    <t>3. The data shall be encoded in kilograms (kg).</t>
  </si>
  <si>
    <t>Sheet 2: For segregated solid waste</t>
  </si>
  <si>
    <t>Sheet 3: For unsegregated solid waste</t>
  </si>
  <si>
    <t xml:space="preserve">1. If the campus is not practicing waste segregation, kindly use sheet number 3. </t>
  </si>
  <si>
    <t>2. The data shall be encoded in kilograms (kg).</t>
  </si>
  <si>
    <t xml:space="preserve">3. The GHG emission will be automatically computed once the sheet has input. </t>
  </si>
  <si>
    <t>4. All solid waste regardless of the waste treatement (recycled, composted, landfilled) shall be encoded here.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</si>
</sst>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0000_);_(* \(#,##0.0000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4">
    <xf numFmtId="0" fontId="0" fillId="0" borderId="0" xfId="0"/>
    <xf numFmtId="18" fontId="0" fillId="0" borderId="0" xfId="0" applyNumberFormat="1"/>
    <xf numFmtId="0" fontId="3" fillId="0" borderId="0" xfId="0" applyFont="1"/>
    <xf numFmtId="0" fontId="0" fillId="0" borderId="0" xfId="0" applyAlignment="1">
      <alignment horizontal="left"/>
    </xf>
    <xf numFmtId="14" fontId="0" fillId="0" borderId="1" xfId="0" applyNumberFormat="1" applyBorder="1" applyProtection="1">
      <protection locked="0"/>
    </xf>
    <xf numFmtId="0" fontId="0" fillId="0" borderId="10" xfId="0" applyBorder="1" applyProtection="1">
      <protection locked="0"/>
    </xf>
    <xf numFmtId="0" fontId="0" fillId="0" borderId="6" xfId="0" applyBorder="1" applyProtection="1"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0" fillId="2" borderId="0" xfId="0" applyFill="1" applyProtection="1">
      <protection locked="0"/>
    </xf>
    <xf numFmtId="18" fontId="0" fillId="2" borderId="0" xfId="0" applyNumberFormat="1" applyFill="1" applyProtection="1">
      <protection locked="0"/>
    </xf>
    <xf numFmtId="0" fontId="4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2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2" borderId="0" xfId="0" applyFill="1"/>
    <xf numFmtId="14" fontId="0" fillId="0" borderId="5" xfId="0" applyNumberFormat="1" applyBorder="1" applyProtection="1">
      <protection locked="0"/>
    </xf>
    <xf numFmtId="0" fontId="5" fillId="3" borderId="2" xfId="0" applyFont="1" applyFill="1" applyBorder="1" applyAlignment="1" applyProtection="1">
      <alignment vertical="center" wrapText="1"/>
      <protection locked="0"/>
    </xf>
    <xf numFmtId="0" fontId="5" fillId="3" borderId="3" xfId="0" applyFont="1" applyFill="1" applyBorder="1" applyAlignment="1" applyProtection="1">
      <alignment horizontal="center" vertical="center" wrapText="1"/>
      <protection locked="0"/>
    </xf>
    <xf numFmtId="0" fontId="5" fillId="3" borderId="3" xfId="0" applyFont="1" applyFill="1" applyBorder="1" applyAlignment="1">
      <alignment horizontal="center" vertical="center" wrapText="1"/>
    </xf>
    <xf numFmtId="43" fontId="0" fillId="0" borderId="1" xfId="1" applyFont="1" applyFill="1" applyBorder="1" applyAlignment="1" applyProtection="1">
      <alignment wrapText="1"/>
    </xf>
    <xf numFmtId="43" fontId="0" fillId="0" borderId="8" xfId="1" applyFont="1" applyFill="1" applyBorder="1" applyAlignment="1" applyProtection="1">
      <alignment wrapText="1"/>
    </xf>
    <xf numFmtId="43" fontId="0" fillId="0" borderId="9" xfId="1" applyFont="1" applyFill="1" applyBorder="1" applyAlignment="1" applyProtection="1">
      <alignment wrapText="1"/>
    </xf>
    <xf numFmtId="0" fontId="4" fillId="2" borderId="0" xfId="0" applyFont="1" applyFill="1"/>
    <xf numFmtId="43" fontId="7" fillId="4" borderId="9" xfId="1" applyFont="1" applyFill="1" applyBorder="1" applyAlignment="1" applyProtection="1">
      <alignment wrapText="1"/>
    </xf>
    <xf numFmtId="43" fontId="7" fillId="4" borderId="5" xfId="1" applyFont="1" applyFill="1" applyBorder="1" applyAlignment="1" applyProtection="1">
      <alignment wrapText="1"/>
    </xf>
    <xf numFmtId="164" fontId="7" fillId="4" borderId="9" xfId="1" applyNumberFormat="1" applyFont="1" applyFill="1" applyBorder="1" applyAlignment="1" applyProtection="1">
      <alignment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8" fillId="0" borderId="0" xfId="0" applyFont="1"/>
    <xf numFmtId="164" fontId="7" fillId="4" borderId="5" xfId="1" applyNumberFormat="1" applyFont="1" applyFill="1" applyBorder="1" applyAlignment="1" applyProtection="1">
      <alignment wrapText="1"/>
    </xf>
    <xf numFmtId="0" fontId="2" fillId="0" borderId="2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>
      <alignment horizontal="center" vertical="center" wrapText="1"/>
    </xf>
    <xf numFmtId="0" fontId="8" fillId="0" borderId="0" xfId="0" applyFont="1" applyAlignment="1" applyProtection="1">
      <alignment horizontal="left" vertical="center"/>
      <protection locked="0"/>
    </xf>
    <xf numFmtId="0" fontId="3" fillId="3" borderId="0" xfId="0" applyFont="1" applyFill="1" applyAlignment="1" applyProtection="1">
      <alignment vertical="center" wrapText="1"/>
      <protection locked="0"/>
    </xf>
    <xf numFmtId="0" fontId="2" fillId="0" borderId="12" xfId="0" applyFont="1" applyBorder="1"/>
    <xf numFmtId="0" fontId="2" fillId="0" borderId="13" xfId="0" applyFont="1" applyBorder="1"/>
    <xf numFmtId="164" fontId="0" fillId="0" borderId="11" xfId="1" applyNumberFormat="1" applyFont="1" applyFill="1" applyBorder="1"/>
    <xf numFmtId="43" fontId="0" fillId="0" borderId="11" xfId="1" applyFont="1" applyFill="1" applyBorder="1"/>
    <xf numFmtId="0" fontId="10" fillId="5" borderId="0" xfId="0" applyFont="1" applyFill="1" applyAlignment="1" applyProtection="1">
      <alignment wrapText="1"/>
      <protection locked="0"/>
    </xf>
    <xf numFmtId="43" fontId="2" fillId="2" borderId="1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164" fontId="2" fillId="2" borderId="0" xfId="0" applyNumberFormat="1" applyFont="1" applyFill="1" applyAlignment="1" applyProtection="1">
      <alignment vertical="center" wrapText="1"/>
      <protection locked="0"/>
    </xf>
    <xf numFmtId="0" fontId="0" fillId="6" borderId="0" xfId="0" applyFill="1"/>
    <xf numFmtId="0" fontId="3" fillId="6" borderId="0" xfId="0" applyFont="1" applyFill="1"/>
    <xf numFmtId="0" fontId="0" fillId="6" borderId="0" xfId="0" applyFill="1" applyAlignment="1">
      <alignment horizontal="left"/>
    </xf>
    <xf numFmtId="0" fontId="11" fillId="6" borderId="0" xfId="0" applyFont="1" applyFill="1"/>
    <xf numFmtId="0" fontId="12" fillId="6" borderId="0" xfId="2" applyFill="1" applyBorder="1"/>
  </cellXfs>
  <cellStyles count="3">
    <cellStyle name="Comma" xfId="1" builtinId="3"/>
    <cellStyle name="Hyperlink" xfId="2" builtinId="8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.00000_);_(* \(#,##0.00000\);_(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</dxf>
    <dxf>
      <border outline="0">
        <right style="thin">
          <color theme="4" tint="0.39997558519241921"/>
        </right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23" formatCode="h:mm\ AM/PM"/>
    </dxf>
    <dxf>
      <numFmt numFmtId="23" formatCode="h:mm\ AM/P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.00000_);_(* \(#,##0.00000\);_(* &quot;-&quot;??_);_(@_)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0" tint="-0.34998626667073579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/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/>
        <top/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0" tint="-0.34998626667073579"/>
        </left>
        <right/>
        <top/>
        <bottom style="thin">
          <color theme="0" tint="-0.34998626667073579"/>
        </bottom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border outline="0">
        <left style="thin">
          <color rgb="FFA6A6A6"/>
        </left>
        <right style="thin">
          <color rgb="FFA6A6A6"/>
        </right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rgb="FF000000"/>
          <bgColor rgb="FFFFFFFF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 tint="-0.499984740745262"/>
        <name val="Calibri"/>
        <family val="2"/>
        <scheme val="minor"/>
      </font>
      <numFmt numFmtId="0" formatCode="General"/>
      <fill>
        <patternFill patternType="solid">
          <fgColor indexed="64"/>
          <bgColor theme="7" tint="0.5999938962981048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.00000_);_(* \(#,##0.00000\);_(* &quot;-&quot;??_);_(@_)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0" tint="-0.34998626667073579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5" formatCode="_(* #,##0.00_);_(* \(#,##0.00\);_(* &quot;-&quot;??_);_(@_)"/>
      <fill>
        <patternFill patternType="solid">
          <fgColor indexed="64"/>
          <bgColor theme="0" tint="-0.14999847407452621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 style="thin">
          <color theme="0" tint="-0.3499862666707357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/>
        <top/>
        <bottom style="thin">
          <color theme="0" tint="-0.34998626667073579"/>
        </bottom>
      </border>
      <protection locked="0" hidden="0"/>
    </dxf>
    <dxf>
      <numFmt numFmtId="19" formatCode="m/d/yyyy"/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34998626667073579"/>
        </left>
        <right/>
        <top/>
        <bottom style="thin">
          <color theme="0" tint="-0.34998626667073579"/>
        </bottom>
      </border>
      <protection locked="1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  <protection locked="0" hidden="0"/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59999389629810485"/>
        </patternFill>
      </fill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B4FCA65-ABB4-41F9-B119-2961C0A1251A}" name="Table8" displayName="Table8" ref="A2:J31" totalsRowShown="0" headerRowDxfId="43" dataDxfId="42" tableBorderDxfId="41">
  <tableColumns count="10">
    <tableColumn id="1" xr3:uid="{7C5823D0-C667-4D19-A504-DAEABCEFC965}" name="Campus" dataDxfId="40"/>
    <tableColumn id="2" xr3:uid="{9D757C93-8A28-4FFE-9380-31023B51468F}" name="Year" dataDxfId="39"/>
    <tableColumn id="3" xr3:uid="{ECF6DF0F-4087-4B07-BA29-CBF9C84084B0}" name="Quarter" dataDxfId="38">
      <calculatedColumnFormula>IF(D3="","",VLOOKUP(D3,Quarter_VLT[#All],2,FALSE))</calculatedColumnFormula>
    </tableColumn>
    <tableColumn id="4" xr3:uid="{ADDD862E-870B-4E74-817E-75719F6876AF}" name="Month" dataDxfId="37"/>
    <tableColumn id="5" xr3:uid="{2A470C6A-5E09-4E78-9ED4-4423B7906B5B}" name="Waste Type" dataDxfId="36"/>
    <tableColumn id="6" xr3:uid="{A7C25BAE-79D8-464F-ADB3-E03B264E4081}" name="Type2" dataDxfId="35"/>
    <tableColumn id="11" xr3:uid="{553DA929-71A6-42A8-A832-86DEE0DFE855}" name="Quantity_x000a_(in kg)" dataDxfId="34" dataCellStyle="Comma"/>
    <tableColumn id="13" xr3:uid="{A0940472-F25E-445D-85D3-629CBD948788}" name="GHG Emission (kg CO2-e)" dataDxfId="33" dataCellStyle="Comma">
      <calculatedColumnFormula>IF(OR(A3="",B3="",D3="",E3="",G3="",F3=""),"",G3*VLOOKUP(J3,Table15[#All],3,FALSE))</calculatedColumnFormula>
    </tableColumn>
    <tableColumn id="14" xr3:uid="{4DFF8488-CF86-4618-8BD1-AEECC16B4B84}" name="GHG Emission (t CO2-e)" dataDxfId="32" dataCellStyle="Comma">
      <calculatedColumnFormula>IF(H3="","",H3/1000)</calculatedColumnFormula>
    </tableColumn>
    <tableColumn id="16" xr3:uid="{F8E29ECA-30E5-4CA8-8437-4F491BB80612}" name="concatenated" dataDxfId="31">
      <calculatedColumnFormula>CONCATENATE(E3,F3)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032F7A1-A9A7-4768-A142-1A258DAC8680}" name="Table814" displayName="Table814" ref="A2:L31" totalsRowShown="0" headerRowDxfId="30" dataDxfId="29" tableBorderDxfId="28">
  <tableColumns count="12">
    <tableColumn id="1" xr3:uid="{F5688B59-A306-4489-8240-141683CC42D6}" name="Campus" dataDxfId="27"/>
    <tableColumn id="2" xr3:uid="{1C3C3FC4-6EE2-437C-8A40-5A738A60E872}" name="Year" dataDxfId="26"/>
    <tableColumn id="3" xr3:uid="{F21FF17F-0526-42B0-8A48-53A1D93D1B62}" name="Quarter" dataDxfId="25">
      <calculatedColumnFormula>IF(D3="","",VLOOKUP(D3,Quarter_VLT[#All],2,FALSE))</calculatedColumnFormula>
    </tableColumn>
    <tableColumn id="4" xr3:uid="{AAE96236-DAD7-4A0F-8CA6-009D3D73C411}" name="Month" dataDxfId="24"/>
    <tableColumn id="5" xr3:uid="{1D7CA586-3CF8-4E8B-9B0D-AE33BD33C0E3}" name="Waste Type" dataDxfId="23"/>
    <tableColumn id="11" xr3:uid="{13EAF191-7891-424B-9DA6-06852E1E65A6}" name="Quantity_x000a_(in kg)" dataDxfId="22" dataCellStyle="Comma"/>
    <tableColumn id="20" xr3:uid="{2A5E3206-59AD-4FFE-AFCA-7548B2274F33}" name="Quantity_x000a_(in ton)" dataDxfId="21" dataCellStyle="Comma">
      <calculatedColumnFormula>Table814[[#This Row],[Quantity
(in kg)]]/1000</calculatedColumnFormula>
    </tableColumn>
    <tableColumn id="16" xr3:uid="{7CBC0F8A-09B9-4ED1-A41B-3C8B4FCEC438}" name="Sent to Landfill (in kg)" dataDxfId="20" dataCellStyle="Comma"/>
    <tableColumn id="21" xr3:uid="{3F380464-5D88-4C6E-92B5-E0D7BB6BC2F9}" name="Sent to Landfill (in ton)" dataDxfId="19" dataCellStyle="Comma">
      <calculatedColumnFormula>Table814[[#This Row],[Sent to Landfill (in kg)]]/1000</calculatedColumnFormula>
    </tableColumn>
    <tableColumn id="18" xr3:uid="{0D2C0766-8CA9-466D-B764-D6E2A83FC13E}" name="Percentage" dataDxfId="18" dataCellStyle="Comma">
      <calculatedColumnFormula>IF(F3="","",I3/G3)</calculatedColumnFormula>
    </tableColumn>
    <tableColumn id="13" xr3:uid="{517D99AE-8ECC-4F18-9C26-13FBA16382FF}" name="GHG Emission (kg CO2-e)" dataDxfId="17" dataCellStyle="Comma">
      <calculatedColumnFormula>Table814[[#This Row],[GHG Emission (t CO2-e)]]*1000</calculatedColumnFormula>
    </tableColumn>
    <tableColumn id="14" xr3:uid="{1EE389BF-F022-40B8-AD5B-CFFA1FF61444}" name="GHG Emission (t CO2-e)" dataDxfId="16" dataCellStyle="Comma">
      <calculatedColumnFormula>G3*J3*0.8*0.25*0.5*0.5*1.33*1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5E1AF2-C3BF-45E5-AED1-CA301C8C7B74}" name="Table2" displayName="Table2" ref="G1:G6" totalsRowShown="0" headerRowDxfId="15">
  <autoFilter ref="G1:G6" xr:uid="{E25E1AF2-C3BF-45E5-AED1-CA301C8C7B74}"/>
  <sortState xmlns:xlrd2="http://schemas.microsoft.com/office/spreadsheetml/2017/richdata2" ref="G2:G5">
    <sortCondition ref="G2:G5"/>
  </sortState>
  <tableColumns count="1">
    <tableColumn id="1" xr3:uid="{17E64223-CAEF-4A28-B76B-76A463F44F6D}" name="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9BA82D-696F-4FF5-B5EB-344ABDB763F4}" name="Table4" displayName="Table4" ref="I1:I3" totalsRowShown="0" headerRowDxfId="14">
  <autoFilter ref="I1:I3" xr:uid="{CA9BA82D-696F-4FF5-B5EB-344ABDB763F4}"/>
  <tableColumns count="1">
    <tableColumn id="1" xr3:uid="{D3590366-A500-431C-A0F3-6980920FB223}" name="Municipal Solid Was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05929C-DED4-49DD-B83B-A50B61D9A8F1}" name="Table5" displayName="Table5" ref="J1:J4" totalsRowShown="0" headerRowDxfId="13">
  <autoFilter ref="J1:J4" xr:uid="{8405929C-DED4-49DD-B83B-A50B61D9A8F1}"/>
  <tableColumns count="1">
    <tableColumn id="1" xr3:uid="{C9648911-0BC4-4F64-B8BD-42E8ED12FF90}" name="Biodegradab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34433C2-A236-4B77-A3DA-FE6F03AB7D41}" name="Table6" displayName="Table6" ref="K1:K5" totalsRowShown="0" headerRowDxfId="12">
  <autoFilter ref="K1:K5" xr:uid="{434433C2-A236-4B77-A3DA-FE6F03AB7D41}"/>
  <tableColumns count="1">
    <tableColumn id="1" xr3:uid="{096EAF8C-B01F-4A8A-ACF8-B3C86435C8E9}" name="Recyclab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B0303AA-5EA3-4C5D-828E-93BA5E0C50F2}" name="Quarter_VLT" displayName="Quarter_VLT" ref="D1:E13" totalsRowShown="0" headerRowDxfId="11">
  <autoFilter ref="D1:E13" xr:uid="{7B0303AA-5EA3-4C5D-828E-93BA5E0C50F2}"/>
  <tableColumns count="2">
    <tableColumn id="1" xr3:uid="{CE60462D-1AD0-4067-A396-132B2FD4F35D}" name="Month" dataDxfId="10"/>
    <tableColumn id="2" xr3:uid="{A7C3F4AB-B393-40B7-B900-433E3117166F}" name="Quarter" dataDxfId="9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B947443-6846-4C59-A4E5-2B45B35B07E1}" name="Residual" displayName="Residual" ref="M1:M2" totalsRowShown="0" headerRowDxfId="8">
  <autoFilter ref="M1:M2" xr:uid="{2B947443-6846-4C59-A4E5-2B45B35B07E1}"/>
  <tableColumns count="1">
    <tableColumn id="1" xr3:uid="{1C5E9169-267B-43D3-8C4A-312C3F3C292B}" name="Residu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68259D7-D9E5-403A-8062-E43EBAF18890}" name="Table12" displayName="Table12" ref="N1:N2" totalsRowShown="0" headerRowDxfId="7">
  <autoFilter ref="N1:N2" xr:uid="{668259D7-D9E5-403A-8062-E43EBAF18890}"/>
  <tableColumns count="1">
    <tableColumn id="1" xr3:uid="{81B7E062-56A3-4FDE-B344-F372781A422B}" name="Special_Was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D037F5B-FB1E-4F2D-8CB1-29E026EB130F}" name="Table10" displayName="Table10" ref="A1:C11" totalsRowShown="0">
  <tableColumns count="3">
    <tableColumn id="1" xr3:uid="{0F6E60DA-9C86-4BD5-9696-2C3D864D9E2D}" name="Type"/>
    <tableColumn id="2" xr3:uid="{207B4D8A-2654-4EE0-9E89-950F8FC48939}" name="ton"/>
    <tableColumn id="3" xr3:uid="{5F4F8D98-AC91-4838-AD4F-23D12E635DF4}" name="k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1F7AD56-799C-47B0-A8A7-F9E7599745B9}" name="Table15" displayName="Table15" ref="A33:C42" totalsRowShown="0" headerRowDxfId="6" dataDxfId="4" headerRowBorderDxfId="5" tableBorderDxfId="3">
  <tableColumns count="3">
    <tableColumn id="1" xr3:uid="{F82E4183-0879-4251-8FE3-8ED2D36B7F7E}" name="Type" dataDxfId="2"/>
    <tableColumn id="2" xr3:uid="{D301F7F9-DFBA-4B44-8242-10BDB228FA37}" name="Ton" dataDxfId="1" dataCellStyle="Comma"/>
    <tableColumn id="3" xr3:uid="{AFD209B6-8D58-45E8-9CF2-73ED0E321C5C}" name="Kg" dataDxfId="0" dataCellStyle="Comma">
      <calculatedColumnFormula>B34/1000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6775-2857-41C6-BE57-BC37955BB8F6}">
  <dimension ref="B6:F25"/>
  <sheetViews>
    <sheetView tabSelected="1" workbookViewId="0">
      <selection activeCell="P25" sqref="P25"/>
    </sheetView>
  </sheetViews>
  <sheetFormatPr defaultRowHeight="15" x14ac:dyDescent="0.25"/>
  <cols>
    <col min="1" max="16384" width="9.140625" style="49"/>
  </cols>
  <sheetData>
    <row r="6" spans="2:6" x14ac:dyDescent="0.25">
      <c r="B6" s="50" t="s">
        <v>107</v>
      </c>
    </row>
    <row r="8" spans="2:6" x14ac:dyDescent="0.25">
      <c r="B8" s="49" t="s">
        <v>110</v>
      </c>
    </row>
    <row r="9" spans="2:6" x14ac:dyDescent="0.25">
      <c r="B9" s="49" t="s">
        <v>111</v>
      </c>
    </row>
    <row r="10" spans="2:6" x14ac:dyDescent="0.25">
      <c r="B10" s="49" t="s">
        <v>112</v>
      </c>
    </row>
    <row r="11" spans="2:6" x14ac:dyDescent="0.25">
      <c r="B11" s="51" t="s">
        <v>121</v>
      </c>
    </row>
    <row r="14" spans="2:6" x14ac:dyDescent="0.25">
      <c r="B14" s="52" t="s">
        <v>116</v>
      </c>
    </row>
    <row r="15" spans="2:6" x14ac:dyDescent="0.25">
      <c r="B15" s="49" t="s">
        <v>113</v>
      </c>
    </row>
    <row r="16" spans="2:6" x14ac:dyDescent="0.25">
      <c r="B16" s="51" t="s">
        <v>114</v>
      </c>
      <c r="F16" s="53"/>
    </row>
    <row r="17" spans="2:2" x14ac:dyDescent="0.25">
      <c r="B17" s="51" t="s">
        <v>115</v>
      </c>
    </row>
    <row r="18" spans="2:2" x14ac:dyDescent="0.25">
      <c r="B18" s="51" t="s">
        <v>108</v>
      </c>
    </row>
    <row r="19" spans="2:2" x14ac:dyDescent="0.25">
      <c r="B19" s="51"/>
    </row>
    <row r="20" spans="2:2" x14ac:dyDescent="0.25">
      <c r="B20" s="52" t="s">
        <v>117</v>
      </c>
    </row>
    <row r="21" spans="2:2" x14ac:dyDescent="0.25">
      <c r="B21" s="49" t="s">
        <v>118</v>
      </c>
    </row>
    <row r="22" spans="2:2" x14ac:dyDescent="0.25">
      <c r="B22" s="51" t="s">
        <v>119</v>
      </c>
    </row>
    <row r="23" spans="2:2" x14ac:dyDescent="0.25">
      <c r="B23" s="51" t="s">
        <v>120</v>
      </c>
    </row>
    <row r="25" spans="2:2" x14ac:dyDescent="0.25">
      <c r="B25" s="5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1DA01-DAF7-4694-A653-B6F0DDEDFDE5}">
  <sheetPr>
    <tabColor theme="8" tint="-0.249977111117893"/>
    <pageSetUpPr fitToPage="1"/>
  </sheetPr>
  <dimension ref="A1:K31"/>
  <sheetViews>
    <sheetView showGridLines="0" zoomScale="115" zoomScaleNormal="115" workbookViewId="0">
      <pane ySplit="2" topLeftCell="A3" activePane="bottomLeft" state="frozen"/>
      <selection pane="bottomLeft" activeCell="E6" sqref="E6"/>
    </sheetView>
  </sheetViews>
  <sheetFormatPr defaultRowHeight="15" x14ac:dyDescent="0.25"/>
  <cols>
    <col min="1" max="1" width="18.85546875" style="11" customWidth="1"/>
    <col min="2" max="2" width="6.140625" style="15" customWidth="1"/>
    <col min="3" max="3" width="8.140625" style="11" customWidth="1"/>
    <col min="4" max="4" width="11.7109375" style="11" customWidth="1"/>
    <col min="5" max="5" width="22.140625" style="11" customWidth="1"/>
    <col min="6" max="6" width="20.85546875" style="11" customWidth="1"/>
    <col min="7" max="7" width="13.5703125" style="18" customWidth="1"/>
    <col min="8" max="8" width="14.7109375" style="26" customWidth="1"/>
    <col min="9" max="9" width="15.5703125" style="13" customWidth="1"/>
    <col min="10" max="10" width="26.7109375" style="13" hidden="1" customWidth="1"/>
    <col min="11" max="11" width="9.140625" style="11"/>
    <col min="12" max="12" width="24.85546875" style="11" customWidth="1"/>
    <col min="13" max="16384" width="9.140625" style="11"/>
  </cols>
  <sheetData>
    <row r="1" spans="1:10" s="9" customFormat="1" ht="27" customHeight="1" x14ac:dyDescent="0.25">
      <c r="A1" s="7" t="s">
        <v>0</v>
      </c>
      <c r="B1" s="8" t="s">
        <v>3</v>
      </c>
      <c r="C1" s="46" t="s">
        <v>16</v>
      </c>
      <c r="D1" s="8" t="s">
        <v>2</v>
      </c>
      <c r="E1" s="8" t="s">
        <v>30</v>
      </c>
      <c r="F1" s="8" t="s">
        <v>39</v>
      </c>
      <c r="G1" s="16" t="s">
        <v>17</v>
      </c>
      <c r="H1" s="45" t="e">
        <f>SUM(Table8[GHG Emission (kg CO2-e)])</f>
        <v>#N/A</v>
      </c>
      <c r="I1" s="48" t="e">
        <f>SUM(Table8[GHG Emission (t CO2-e)])</f>
        <v>#N/A</v>
      </c>
    </row>
    <row r="2" spans="1:10" s="9" customFormat="1" ht="30" x14ac:dyDescent="0.25">
      <c r="A2" s="20" t="s">
        <v>0</v>
      </c>
      <c r="B2" s="21" t="s">
        <v>3</v>
      </c>
      <c r="C2" s="47" t="s">
        <v>16</v>
      </c>
      <c r="D2" s="21" t="s">
        <v>2</v>
      </c>
      <c r="E2" s="21" t="s">
        <v>30</v>
      </c>
      <c r="F2" s="21" t="s">
        <v>38</v>
      </c>
      <c r="G2" s="22" t="s">
        <v>17</v>
      </c>
      <c r="H2" s="22" t="s">
        <v>57</v>
      </c>
      <c r="I2" s="22" t="s">
        <v>106</v>
      </c>
      <c r="J2" s="39" t="s">
        <v>105</v>
      </c>
    </row>
    <row r="3" spans="1:10" x14ac:dyDescent="0.25">
      <c r="A3" s="5" t="s">
        <v>8</v>
      </c>
      <c r="B3" s="5">
        <v>2022</v>
      </c>
      <c r="C3" s="30" t="str">
        <f>IF(D3="","",VLOOKUP(D3,Quarter_VLT[#All],2,FALSE))</f>
        <v>Q1</v>
      </c>
      <c r="D3" s="4" t="s">
        <v>20</v>
      </c>
      <c r="E3" s="10" t="s">
        <v>31</v>
      </c>
      <c r="F3" s="10" t="s">
        <v>41</v>
      </c>
      <c r="G3" s="23">
        <v>4836.34</v>
      </c>
      <c r="H3" s="27" t="e">
        <f>IF(OR(A3="",B3="",D3="",E3="",G3="",F3=""),"",G3*VLOOKUP(J3,Table15[#All],3,FALSE))</f>
        <v>#N/A</v>
      </c>
      <c r="I3" s="29" t="e">
        <f t="shared" ref="I3:I31" si="0">IF(H3="","",H3/1000)</f>
        <v>#N/A</v>
      </c>
      <c r="J3" s="44" t="str">
        <f t="shared" ref="J3:J31" si="1">CONCATENATE(E3,F3)</f>
        <v>BiodegradableMixed Plastic</v>
      </c>
    </row>
    <row r="4" spans="1:10" x14ac:dyDescent="0.25">
      <c r="A4" s="5" t="s">
        <v>6</v>
      </c>
      <c r="B4" s="5">
        <v>2022</v>
      </c>
      <c r="C4" s="30" t="str">
        <f>IF(D4="","",VLOOKUP(D4,Quarter_VLT[#All],2,FALSE))</f>
        <v>Q2</v>
      </c>
      <c r="D4" s="4" t="s">
        <v>21</v>
      </c>
      <c r="E4" s="10" t="s">
        <v>32</v>
      </c>
      <c r="F4" s="10" t="s">
        <v>33</v>
      </c>
      <c r="G4" s="23">
        <v>51113.599999999999</v>
      </c>
      <c r="H4" s="27" t="e">
        <f>IF(OR(A4="",B4="",D4="",E4="",G4="",F4=""),"",G4*VLOOKUP(J4,Table15[#All],3,FALSE))</f>
        <v>#N/A</v>
      </c>
      <c r="I4" s="29" t="e">
        <f t="shared" si="0"/>
        <v>#N/A</v>
      </c>
      <c r="J4" s="44" t="str">
        <f t="shared" si="1"/>
        <v>RecyclableResidual</v>
      </c>
    </row>
    <row r="5" spans="1:10" x14ac:dyDescent="0.25">
      <c r="A5" s="5" t="s">
        <v>6</v>
      </c>
      <c r="B5" s="5">
        <v>2022</v>
      </c>
      <c r="C5" s="30" t="str">
        <f>IF(D5="","",VLOOKUP(D5,Quarter_VLT[#All],2,FALSE))</f>
        <v>Q2</v>
      </c>
      <c r="D5" s="4" t="s">
        <v>22</v>
      </c>
      <c r="E5" s="10" t="s">
        <v>48</v>
      </c>
      <c r="F5" s="10" t="s">
        <v>36</v>
      </c>
      <c r="G5" s="23">
        <v>323.56</v>
      </c>
      <c r="H5" s="27">
        <f>IF(OR(A5="",B5="",D5="",E5="",G5="",F5=""),"",G5*VLOOKUP(J5,Table15[#All],3,FALSE))</f>
        <v>2.8796840000000001</v>
      </c>
      <c r="I5" s="29">
        <f t="shared" si="0"/>
        <v>2.879684E-3</v>
      </c>
      <c r="J5" s="44" t="str">
        <f t="shared" si="1"/>
        <v>Special_WasteSpecial Waste</v>
      </c>
    </row>
    <row r="6" spans="1:10" ht="30" x14ac:dyDescent="0.25">
      <c r="A6" s="5" t="s">
        <v>6</v>
      </c>
      <c r="B6" s="5">
        <v>2022</v>
      </c>
      <c r="C6" s="30" t="str">
        <f>IF(D6="","",VLOOKUP(D6,Quarter_VLT[#All],2,FALSE))</f>
        <v>Q2</v>
      </c>
      <c r="D6" s="4" t="s">
        <v>22</v>
      </c>
      <c r="E6" s="10" t="s">
        <v>31</v>
      </c>
      <c r="F6" s="10" t="s">
        <v>56</v>
      </c>
      <c r="G6" s="23">
        <v>8295.35</v>
      </c>
      <c r="H6" s="27">
        <f>IF(OR(A6="",B6="",D6="",E6="",G6="",F6=""),"",G6*VLOOKUP(J6,Table15[#All],3,FALSE))</f>
        <v>4872.1908690000009</v>
      </c>
      <c r="I6" s="29">
        <f t="shared" si="0"/>
        <v>4.8721908690000006</v>
      </c>
      <c r="J6" s="44" t="str">
        <f t="shared" si="1"/>
        <v>BiodegradableMixed Food &amp; Garden Waste</v>
      </c>
    </row>
    <row r="7" spans="1:10" x14ac:dyDescent="0.25">
      <c r="A7" s="5"/>
      <c r="B7" s="5"/>
      <c r="C7" s="30" t="str">
        <f>IF(D7="","",VLOOKUP(D7,Quarter_VLT[#All],2,FALSE))</f>
        <v/>
      </c>
      <c r="D7" s="4"/>
      <c r="E7" s="10"/>
      <c r="F7" s="10"/>
      <c r="G7" s="23"/>
      <c r="H7" s="27" t="str">
        <f>IF(OR(A7="",B7="",D7="",E7="",G7="",F7=""),"",G7*VLOOKUP(J7,Table15[#All],3,FALSE))</f>
        <v/>
      </c>
      <c r="I7" s="29" t="str">
        <f t="shared" si="0"/>
        <v/>
      </c>
      <c r="J7" s="44" t="str">
        <f t="shared" si="1"/>
        <v/>
      </c>
    </row>
    <row r="8" spans="1:10" x14ac:dyDescent="0.25">
      <c r="A8" s="5"/>
      <c r="B8" s="5"/>
      <c r="C8" s="30" t="str">
        <f>IF(D8="","",VLOOKUP(D8,Quarter_VLT[#All],2,FALSE))</f>
        <v/>
      </c>
      <c r="D8" s="4"/>
      <c r="E8" s="10"/>
      <c r="F8" s="10"/>
      <c r="G8" s="23"/>
      <c r="H8" s="27" t="str">
        <f>IF(OR(A8="",B8="",D8="",E8="",G8="",F8=""),"",G8*VLOOKUP(J8,Table15[#All],3,FALSE))</f>
        <v/>
      </c>
      <c r="I8" s="29" t="str">
        <f t="shared" si="0"/>
        <v/>
      </c>
      <c r="J8" s="44" t="str">
        <f t="shared" si="1"/>
        <v/>
      </c>
    </row>
    <row r="9" spans="1:10" x14ac:dyDescent="0.25">
      <c r="A9" s="5"/>
      <c r="B9" s="5"/>
      <c r="C9" s="30" t="str">
        <f>IF(D9="","",VLOOKUP(D9,Quarter_VLT[#All],2,FALSE))</f>
        <v/>
      </c>
      <c r="D9" s="4"/>
      <c r="E9" s="10"/>
      <c r="F9" s="10"/>
      <c r="G9" s="23"/>
      <c r="H9" s="27" t="str">
        <f>IF(OR(A9="",B9="",D9="",E9="",G9="",F9=""),"",G9*VLOOKUP(J9,Table15[#All],3,FALSE))</f>
        <v/>
      </c>
      <c r="I9" s="29" t="str">
        <f t="shared" si="0"/>
        <v/>
      </c>
      <c r="J9" s="44" t="str">
        <f t="shared" si="1"/>
        <v/>
      </c>
    </row>
    <row r="10" spans="1:10" x14ac:dyDescent="0.25">
      <c r="A10" s="5"/>
      <c r="B10" s="5"/>
      <c r="C10" s="30" t="str">
        <f>IF(D10="","",VLOOKUP(D10,Quarter_VLT[#All],2,FALSE))</f>
        <v/>
      </c>
      <c r="D10" s="4"/>
      <c r="E10" s="10"/>
      <c r="F10" s="10"/>
      <c r="G10" s="23"/>
      <c r="H10" s="27" t="str">
        <f>IF(OR(A10="",B10="",D10="",E10="",G10="",F10=""),"",G10*VLOOKUP(J10,Table15[#All],3,FALSE))</f>
        <v/>
      </c>
      <c r="I10" s="29" t="str">
        <f t="shared" si="0"/>
        <v/>
      </c>
      <c r="J10" s="44" t="str">
        <f t="shared" si="1"/>
        <v/>
      </c>
    </row>
    <row r="11" spans="1:10" x14ac:dyDescent="0.25">
      <c r="A11" s="5"/>
      <c r="B11" s="5"/>
      <c r="C11" s="30" t="str">
        <f>IF(D11="","",VLOOKUP(D11,Quarter_VLT[#All],2,FALSE))</f>
        <v/>
      </c>
      <c r="D11" s="4"/>
      <c r="E11" s="10"/>
      <c r="F11" s="10"/>
      <c r="G11" s="23"/>
      <c r="H11" s="27" t="str">
        <f>IF(OR(A11="",B11="",D11="",E11="",G11="",F11=""),"",G11*VLOOKUP(J11,Table15[#All],3,FALSE))</f>
        <v/>
      </c>
      <c r="I11" s="29" t="str">
        <f t="shared" si="0"/>
        <v/>
      </c>
      <c r="J11" s="44" t="str">
        <f t="shared" si="1"/>
        <v/>
      </c>
    </row>
    <row r="12" spans="1:10" x14ac:dyDescent="0.25">
      <c r="A12" s="5"/>
      <c r="B12" s="5"/>
      <c r="C12" s="30" t="str">
        <f>IF(D12="","",VLOOKUP(D12,Quarter_VLT[#All],2,FALSE))</f>
        <v/>
      </c>
      <c r="D12" s="4"/>
      <c r="E12" s="10"/>
      <c r="F12" s="10"/>
      <c r="G12" s="23"/>
      <c r="H12" s="27" t="str">
        <f>IF(OR(A12="",B12="",D12="",E12="",G12="",F12=""),"",G12*VLOOKUP(J12,Table15[#All],3,FALSE))</f>
        <v/>
      </c>
      <c r="I12" s="29" t="str">
        <f t="shared" si="0"/>
        <v/>
      </c>
      <c r="J12" s="44" t="str">
        <f t="shared" si="1"/>
        <v/>
      </c>
    </row>
    <row r="13" spans="1:10" x14ac:dyDescent="0.25">
      <c r="A13" s="5"/>
      <c r="B13" s="5"/>
      <c r="C13" s="30" t="str">
        <f>IF(D13="","",VLOOKUP(D13,Quarter_VLT[#All],2,FALSE))</f>
        <v/>
      </c>
      <c r="D13" s="4"/>
      <c r="E13" s="10"/>
      <c r="F13" s="10"/>
      <c r="G13" s="23"/>
      <c r="H13" s="27" t="str">
        <f>IF(OR(A13="",B13="",D13="",E13="",G13="",F13=""),"",G13*VLOOKUP(J13,Table15[#All],3,FALSE))</f>
        <v/>
      </c>
      <c r="I13" s="29" t="str">
        <f t="shared" si="0"/>
        <v/>
      </c>
      <c r="J13" s="44" t="str">
        <f t="shared" si="1"/>
        <v/>
      </c>
    </row>
    <row r="14" spans="1:10" x14ac:dyDescent="0.25">
      <c r="A14" s="5"/>
      <c r="B14" s="5"/>
      <c r="C14" s="30" t="str">
        <f>IF(D14="","",VLOOKUP(D14,Quarter_VLT[#All],2,FALSE))</f>
        <v/>
      </c>
      <c r="D14" s="4"/>
      <c r="E14" s="10"/>
      <c r="F14" s="10"/>
      <c r="G14" s="23"/>
      <c r="H14" s="27" t="str">
        <f>IF(OR(A14="",B14="",D14="",E14="",G14="",F14=""),"",G14*VLOOKUP(J14,Table15[#All],3,FALSE))</f>
        <v/>
      </c>
      <c r="I14" s="29" t="str">
        <f t="shared" si="0"/>
        <v/>
      </c>
      <c r="J14" s="44" t="str">
        <f t="shared" si="1"/>
        <v/>
      </c>
    </row>
    <row r="15" spans="1:10" x14ac:dyDescent="0.25">
      <c r="A15" s="5"/>
      <c r="B15" s="5"/>
      <c r="C15" s="30" t="str">
        <f>IF(D15="","",VLOOKUP(D15,Quarter_VLT[#All],2,FALSE))</f>
        <v/>
      </c>
      <c r="D15" s="4"/>
      <c r="E15" s="10"/>
      <c r="F15" s="10"/>
      <c r="G15" s="23"/>
      <c r="H15" s="27" t="str">
        <f>IF(OR(A15="",B15="",D15="",E15="",G15="",F15=""),"",G15*VLOOKUP(J15,Table15[#All],3,FALSE))</f>
        <v/>
      </c>
      <c r="I15" s="29" t="str">
        <f t="shared" si="0"/>
        <v/>
      </c>
      <c r="J15" s="44" t="str">
        <f t="shared" si="1"/>
        <v/>
      </c>
    </row>
    <row r="16" spans="1:10" x14ac:dyDescent="0.25">
      <c r="A16" s="5"/>
      <c r="B16" s="5"/>
      <c r="C16" s="30" t="str">
        <f>IF(D16="","",VLOOKUP(D16,Quarter_VLT[#All],2,FALSE))</f>
        <v/>
      </c>
      <c r="D16" s="4"/>
      <c r="E16" s="10"/>
      <c r="F16" s="10"/>
      <c r="G16" s="23"/>
      <c r="H16" s="27" t="str">
        <f>IF(OR(A16="",B16="",D16="",E16="",G16="",F16=""),"",G16*VLOOKUP(J16,Table15[#All],3,FALSE))</f>
        <v/>
      </c>
      <c r="I16" s="29" t="str">
        <f t="shared" si="0"/>
        <v/>
      </c>
      <c r="J16" s="44" t="str">
        <f t="shared" si="1"/>
        <v/>
      </c>
    </row>
    <row r="17" spans="1:11" x14ac:dyDescent="0.25">
      <c r="A17" s="5"/>
      <c r="B17" s="5"/>
      <c r="C17" s="30" t="str">
        <f>IF(D17="","",VLOOKUP(D17,Quarter_VLT[#All],2,FALSE))</f>
        <v/>
      </c>
      <c r="D17" s="4"/>
      <c r="E17" s="10"/>
      <c r="F17" s="10"/>
      <c r="G17" s="23"/>
      <c r="H17" s="27" t="str">
        <f>IF(OR(A17="",B17="",D17="",E17="",G17="",F17=""),"",G17*VLOOKUP(J17,Table15[#All],3,FALSE))</f>
        <v/>
      </c>
      <c r="I17" s="29" t="str">
        <f t="shared" si="0"/>
        <v/>
      </c>
      <c r="J17" s="44" t="str">
        <f t="shared" si="1"/>
        <v/>
      </c>
    </row>
    <row r="18" spans="1:11" x14ac:dyDescent="0.25">
      <c r="A18" s="5"/>
      <c r="B18" s="5"/>
      <c r="C18" s="30" t="str">
        <f>IF(D18="","",VLOOKUP(D18,Quarter_VLT[#All],2,FALSE))</f>
        <v/>
      </c>
      <c r="D18" s="4"/>
      <c r="E18" s="10"/>
      <c r="F18" s="10"/>
      <c r="G18" s="23"/>
      <c r="H18" s="27" t="str">
        <f>IF(OR(A18="",B18="",D18="",E18="",G18="",F18=""),"",G18*VLOOKUP(J18,Table15[#All],3,FALSE))</f>
        <v/>
      </c>
      <c r="I18" s="29" t="str">
        <f t="shared" si="0"/>
        <v/>
      </c>
      <c r="J18" s="44" t="str">
        <f t="shared" si="1"/>
        <v/>
      </c>
    </row>
    <row r="19" spans="1:11" x14ac:dyDescent="0.25">
      <c r="A19" s="5"/>
      <c r="B19" s="5"/>
      <c r="C19" s="30" t="str">
        <f>IF(D19="","",VLOOKUP(D19,Quarter_VLT[#All],2,FALSE))</f>
        <v/>
      </c>
      <c r="D19" s="4"/>
      <c r="E19" s="10"/>
      <c r="F19" s="10"/>
      <c r="G19" s="23"/>
      <c r="H19" s="27" t="str">
        <f>IF(OR(A19="",B19="",D19="",E19="",G19="",F19=""),"",G19*VLOOKUP(J19,Table15[#All],3,FALSE))</f>
        <v/>
      </c>
      <c r="I19" s="29" t="str">
        <f t="shared" si="0"/>
        <v/>
      </c>
      <c r="J19" s="44" t="str">
        <f t="shared" si="1"/>
        <v/>
      </c>
    </row>
    <row r="20" spans="1:11" x14ac:dyDescent="0.25">
      <c r="A20" s="5"/>
      <c r="B20" s="5"/>
      <c r="C20" s="30" t="str">
        <f>IF(D20="","",VLOOKUP(D20,Quarter_VLT[#All],2,FALSE))</f>
        <v/>
      </c>
      <c r="D20" s="4"/>
      <c r="E20" s="10"/>
      <c r="F20" s="10"/>
      <c r="G20" s="23"/>
      <c r="H20" s="27" t="str">
        <f>IF(OR(A20="",B20="",D20="",E20="",G20="",F20=""),"",G20*VLOOKUP(J20,Table15[#All],3,FALSE))</f>
        <v/>
      </c>
      <c r="I20" s="29" t="str">
        <f t="shared" si="0"/>
        <v/>
      </c>
      <c r="J20" s="44" t="str">
        <f t="shared" si="1"/>
        <v/>
      </c>
    </row>
    <row r="21" spans="1:11" x14ac:dyDescent="0.25">
      <c r="A21" s="5"/>
      <c r="B21" s="5"/>
      <c r="C21" s="30" t="str">
        <f>IF(D21="","",VLOOKUP(D21,Quarter_VLT[#All],2,FALSE))</f>
        <v/>
      </c>
      <c r="D21" s="4"/>
      <c r="E21" s="10"/>
      <c r="F21" s="10"/>
      <c r="G21" s="23"/>
      <c r="H21" s="27" t="str">
        <f>IF(OR(A21="",B21="",D21="",E21="",G21="",F21=""),"",G21*VLOOKUP(J21,Table15[#All],3,FALSE))</f>
        <v/>
      </c>
      <c r="I21" s="29" t="str">
        <f t="shared" si="0"/>
        <v/>
      </c>
      <c r="J21" s="44" t="str">
        <f t="shared" si="1"/>
        <v/>
      </c>
    </row>
    <row r="22" spans="1:11" x14ac:dyDescent="0.25">
      <c r="A22" s="5"/>
      <c r="B22" s="5"/>
      <c r="C22" s="30" t="str">
        <f>IF(D22="","",VLOOKUP(D22,Quarter_VLT[#All],2,FALSE))</f>
        <v/>
      </c>
      <c r="D22" s="4"/>
      <c r="E22" s="10"/>
      <c r="F22" s="10"/>
      <c r="G22" s="23"/>
      <c r="H22" s="27" t="str">
        <f>IF(OR(A22="",B22="",D22="",E22="",G22="",F22=""),"",G22*VLOOKUP(J22,Table15[#All],3,FALSE))</f>
        <v/>
      </c>
      <c r="I22" s="29" t="str">
        <f t="shared" si="0"/>
        <v/>
      </c>
      <c r="J22" s="44" t="str">
        <f t="shared" si="1"/>
        <v/>
      </c>
    </row>
    <row r="23" spans="1:11" x14ac:dyDescent="0.25">
      <c r="A23" s="5"/>
      <c r="B23" s="5"/>
      <c r="C23" s="30" t="str">
        <f>IF(D23="","",VLOOKUP(D23,Quarter_VLT[#All],2,FALSE))</f>
        <v/>
      </c>
      <c r="D23" s="4"/>
      <c r="E23" s="10"/>
      <c r="F23" s="10"/>
      <c r="G23" s="23"/>
      <c r="H23" s="27" t="str">
        <f>IF(OR(A23="",B23="",D23="",E23="",G23="",F23=""),"",G23*VLOOKUP(J23,Table15[#All],3,FALSE))</f>
        <v/>
      </c>
      <c r="I23" s="29" t="str">
        <f t="shared" si="0"/>
        <v/>
      </c>
      <c r="J23" s="44" t="str">
        <f t="shared" si="1"/>
        <v/>
      </c>
    </row>
    <row r="24" spans="1:11" x14ac:dyDescent="0.25">
      <c r="A24" s="5"/>
      <c r="B24" s="5"/>
      <c r="C24" s="30" t="str">
        <f>IF(D24="","",VLOOKUP(D24,Quarter_VLT[#All],2,FALSE))</f>
        <v/>
      </c>
      <c r="D24" s="4"/>
      <c r="E24" s="10"/>
      <c r="F24" s="10"/>
      <c r="G24" s="23"/>
      <c r="H24" s="27" t="str">
        <f>IF(OR(A24="",B24="",D24="",E24="",G24="",F24=""),"",G24*VLOOKUP(J24,Table15[#All],3,FALSE))</f>
        <v/>
      </c>
      <c r="I24" s="29" t="str">
        <f t="shared" si="0"/>
        <v/>
      </c>
      <c r="J24" s="44" t="str">
        <f t="shared" si="1"/>
        <v/>
      </c>
    </row>
    <row r="25" spans="1:11" x14ac:dyDescent="0.25">
      <c r="A25" s="5"/>
      <c r="B25" s="5"/>
      <c r="C25" s="30" t="str">
        <f>IF(D25="","",VLOOKUP(D25,Quarter_VLT[#All],2,FALSE))</f>
        <v/>
      </c>
      <c r="D25" s="4"/>
      <c r="E25" s="10"/>
      <c r="F25" s="10"/>
      <c r="G25" s="23"/>
      <c r="H25" s="27" t="str">
        <f>IF(OR(A25="",B25="",D25="",E25="",G25="",F25=""),"",G25*VLOOKUP(J25,Table15[#All],3,FALSE))</f>
        <v/>
      </c>
      <c r="I25" s="29" t="str">
        <f t="shared" si="0"/>
        <v/>
      </c>
      <c r="J25" s="44" t="str">
        <f t="shared" si="1"/>
        <v/>
      </c>
    </row>
    <row r="26" spans="1:11" x14ac:dyDescent="0.25">
      <c r="A26" s="5"/>
      <c r="B26" s="5"/>
      <c r="C26" s="30" t="str">
        <f>IF(D26="","",VLOOKUP(D26,Quarter_VLT[#All],2,FALSE))</f>
        <v/>
      </c>
      <c r="D26" s="4"/>
      <c r="E26" s="10"/>
      <c r="F26" s="10"/>
      <c r="G26" s="23"/>
      <c r="H26" s="27" t="str">
        <f>IF(OR(A26="",B26="",D26="",E26="",G26="",F26=""),"",G26*VLOOKUP(J26,Table15[#All],3,FALSE))</f>
        <v/>
      </c>
      <c r="I26" s="29" t="str">
        <f t="shared" si="0"/>
        <v/>
      </c>
      <c r="J26" s="44" t="str">
        <f t="shared" si="1"/>
        <v/>
      </c>
    </row>
    <row r="27" spans="1:11" x14ac:dyDescent="0.25">
      <c r="A27" s="5"/>
      <c r="B27" s="5"/>
      <c r="C27" s="30" t="str">
        <f>IF(D27="","",VLOOKUP(D27,Quarter_VLT[#All],2,FALSE))</f>
        <v/>
      </c>
      <c r="D27" s="4"/>
      <c r="E27" s="10"/>
      <c r="F27" s="10"/>
      <c r="G27" s="23"/>
      <c r="H27" s="27" t="str">
        <f>IF(OR(A27="",B27="",D27="",E27="",G27="",F27=""),"",G27*VLOOKUP(J27,Table15[#All],3,FALSE))</f>
        <v/>
      </c>
      <c r="I27" s="29" t="str">
        <f t="shared" si="0"/>
        <v/>
      </c>
      <c r="J27" s="44" t="str">
        <f t="shared" si="1"/>
        <v/>
      </c>
    </row>
    <row r="28" spans="1:11" x14ac:dyDescent="0.25">
      <c r="A28" s="6"/>
      <c r="B28" s="6"/>
      <c r="C28" s="30" t="str">
        <f>IF(D28="","",VLOOKUP(D28,Quarter_VLT[#All],2,FALSE))</f>
        <v/>
      </c>
      <c r="D28" s="19"/>
      <c r="E28" s="10"/>
      <c r="F28" s="10"/>
      <c r="G28" s="24"/>
      <c r="H28" s="28" t="str">
        <f>IF(OR(A28="",B28="",D28="",E28="",G28="",F28=""),"",G28*VLOOKUP(J28,Table15[#All],3,FALSE))</f>
        <v/>
      </c>
      <c r="I28" s="33" t="str">
        <f t="shared" si="0"/>
        <v/>
      </c>
      <c r="J28" s="44" t="str">
        <f t="shared" si="1"/>
        <v/>
      </c>
      <c r="K28" s="14"/>
    </row>
    <row r="29" spans="1:11" x14ac:dyDescent="0.25">
      <c r="A29" s="6"/>
      <c r="B29" s="6"/>
      <c r="C29" s="30" t="str">
        <f>IF(D29="","",VLOOKUP(D29,Quarter_VLT[#All],2,FALSE))</f>
        <v/>
      </c>
      <c r="D29" s="19"/>
      <c r="E29" s="10"/>
      <c r="F29" s="10"/>
      <c r="G29" s="24"/>
      <c r="H29" s="28" t="str">
        <f>IF(OR(A29="",B29="",D29="",E29="",G29="",F29=""),"",G29*VLOOKUP(J29,Table15[#All],3,FALSE))</f>
        <v/>
      </c>
      <c r="I29" s="33" t="str">
        <f t="shared" si="0"/>
        <v/>
      </c>
      <c r="J29" s="44" t="str">
        <f t="shared" si="1"/>
        <v/>
      </c>
    </row>
    <row r="30" spans="1:11" x14ac:dyDescent="0.25">
      <c r="A30" s="6"/>
      <c r="B30" s="6"/>
      <c r="C30" s="30" t="str">
        <f>IF(D30="","",VLOOKUP(D30,Quarter_VLT[#All],2,FALSE))</f>
        <v/>
      </c>
      <c r="D30" s="19"/>
      <c r="E30" s="10"/>
      <c r="F30" s="10"/>
      <c r="G30" s="24"/>
      <c r="H30" s="28" t="str">
        <f>IF(OR(A30="",B30="",D30="",E30="",G30="",F30=""),"",G30*VLOOKUP(J30,Table15[#All],3,FALSE))</f>
        <v/>
      </c>
      <c r="I30" s="33" t="str">
        <f t="shared" si="0"/>
        <v/>
      </c>
      <c r="J30" s="44" t="str">
        <f t="shared" si="1"/>
        <v/>
      </c>
    </row>
    <row r="31" spans="1:11" x14ac:dyDescent="0.25">
      <c r="A31" s="6"/>
      <c r="B31" s="6"/>
      <c r="C31" s="30" t="str">
        <f>IF(D31="","",VLOOKUP(D31,Quarter_VLT[#All],2,FALSE))</f>
        <v/>
      </c>
      <c r="D31" s="19"/>
      <c r="E31" s="10"/>
      <c r="F31" s="10"/>
      <c r="G31" s="24"/>
      <c r="H31" s="28" t="str">
        <f>IF(OR(A31="",B31="",D31="",E31="",G31="",F31=""),"",G31*VLOOKUP(J31,Table15[#All],3,FALSE))</f>
        <v/>
      </c>
      <c r="I31" s="33" t="str">
        <f t="shared" si="0"/>
        <v/>
      </c>
      <c r="J31" s="44" t="str">
        <f t="shared" si="1"/>
        <v/>
      </c>
    </row>
  </sheetData>
  <sheetProtection selectLockedCells="1"/>
  <phoneticPr fontId="6" type="noConversion"/>
  <dataValidations count="6">
    <dataValidation type="list" allowBlank="1" showInputMessage="1" showErrorMessage="1" errorTitle="-CenterForSustainablDevelopment" error="Invaid input!_x000a__x000a_Select from the dropdown list..._x000a__x000a_-rr_x000a_" sqref="A3:A31" xr:uid="{D54003B7-A325-4E81-B2BC-5350DDF83CBD}">
      <formula1>campus</formula1>
    </dataValidation>
    <dataValidation type="list" operator="lessThanOrEqual" allowBlank="1" showInputMessage="1" showErrorMessage="1" errorTitle="-CenteForSustainableDevelopment" error="Invaid input!_x000a__x000a_Select from the dropdown list..._x000a__x000a_-rr_x000a_" sqref="D3:D31" xr:uid="{0FD6F2F7-F2AE-4754-8AEA-43D07CB447E1}">
      <formula1>month</formula1>
    </dataValidation>
    <dataValidation type="list" operator="lessThanOrEqual" allowBlank="1" showInputMessage="1" showErrorMessage="1" errorTitle="-CenterForSustainableDevelopment" error="Invaid input!_x000a__x000a_Select from the dropdown list..._x000a__x000a_-rr_x000a_" sqref="E3:E31" xr:uid="{9B9AA512-C68C-40B4-B345-1FB5575F429C}">
      <formula1>type</formula1>
    </dataValidation>
    <dataValidation type="decimal" operator="greaterThanOrEqual" allowBlank="1" showInputMessage="1" showErrorMessage="1" errorTitle="-CenterforSustainableDevelopment" error="Invaid input!_x000a__x000a_Must be a valid number..._x000a__x000a_-rr_x000a_" sqref="G3:G31" xr:uid="{55AEF85B-39F3-4E23-AD6E-D4327D835B8D}">
      <formula1>0</formula1>
    </dataValidation>
    <dataValidation type="list" allowBlank="1" showInputMessage="1" showErrorMessage="1" errorTitle="-CenteForSustainableDevelopment" error="Invaid input!_x000a__x000a_Select from the dropdown list..._x000a__x000a_-rr_x000a_" sqref="B3:B31" xr:uid="{5558C14A-0930-4AEF-9605-1AF759B324B3}">
      <formula1>year</formula1>
    </dataValidation>
    <dataValidation type="list" operator="lessThanOrEqual" showInputMessage="1" showErrorMessage="1" errorTitle="-CenterforSustainableDevelopment" error="Invaid input!_x000a__x000a_Select from the dropdown list..._x000a__x000a_-rr_x000a_" sqref="F3:F31" xr:uid="{FFF3EE79-4367-418A-B56C-15F598611552}">
      <formula1>INDIRECT(E3)</formula1>
    </dataValidation>
  </dataValidations>
  <pageMargins left="0.7" right="0.7" top="1.1000000000000001" bottom="0.75" header="0.3" footer="0.3"/>
  <pageSetup paperSize="14" scale="93" fitToHeight="0" orientation="portrait" horizontalDpi="0" verticalDpi="0" r:id="rId1"/>
  <headerFooter>
    <oddHeader>&amp;L&amp;G&amp;C
&amp;"Arial Nova,Bold"&amp;16 Solid Waste Report</oddHeader>
    <oddFooter>&amp;C&amp;9Prepared by Data Analyst &amp;D&amp;R&amp;9&amp;Z&amp;F   &amp;"-,Italic"Page &amp;P of &amp;N</oddFooter>
  </headerFooter>
  <legacyDrawingHF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019EF-A943-49D5-90FE-F1FE81AF3134}">
  <sheetPr>
    <tabColor theme="8" tint="-0.249977111117893"/>
    <pageSetUpPr fitToPage="1"/>
  </sheetPr>
  <dimension ref="A1:Q31"/>
  <sheetViews>
    <sheetView showGridLines="0" zoomScale="115" zoomScaleNormal="115" workbookViewId="0">
      <selection activeCell="G3" sqref="G3"/>
    </sheetView>
  </sheetViews>
  <sheetFormatPr defaultRowHeight="15" x14ac:dyDescent="0.25"/>
  <cols>
    <col min="1" max="1" width="18.85546875" style="11" customWidth="1"/>
    <col min="2" max="2" width="6.140625" style="15" customWidth="1"/>
    <col min="3" max="3" width="8.140625" style="11" hidden="1" customWidth="1"/>
    <col min="4" max="4" width="11.7109375" style="11" customWidth="1"/>
    <col min="5" max="5" width="28" style="11" customWidth="1"/>
    <col min="6" max="10" width="13.5703125" style="18" customWidth="1"/>
    <col min="11" max="11" width="13.5703125" style="26" bestFit="1" customWidth="1"/>
    <col min="12" max="12" width="13.28515625" style="13" customWidth="1"/>
    <col min="13" max="13" width="10.42578125" style="13" customWidth="1"/>
    <col min="14" max="14" width="8.140625" style="14" customWidth="1"/>
    <col min="15" max="15" width="8.5703125" style="14" customWidth="1"/>
    <col min="16" max="17" width="9.140625" style="11"/>
    <col min="18" max="18" width="24.85546875" style="11" customWidth="1"/>
    <col min="19" max="16384" width="9.140625" style="11"/>
  </cols>
  <sheetData>
    <row r="1" spans="1:15" s="9" customFormat="1" ht="15" customHeight="1" x14ac:dyDescent="0.25">
      <c r="A1" s="34"/>
      <c r="B1" s="35"/>
      <c r="C1" s="36"/>
      <c r="D1" s="35"/>
      <c r="E1" s="35"/>
      <c r="F1" s="37"/>
      <c r="G1" s="37"/>
      <c r="H1" s="37"/>
      <c r="I1" s="37"/>
      <c r="J1" s="37"/>
      <c r="K1" s="17"/>
    </row>
    <row r="2" spans="1:15" s="9" customFormat="1" ht="45" x14ac:dyDescent="0.25">
      <c r="A2" s="20" t="s">
        <v>0</v>
      </c>
      <c r="B2" s="21" t="s">
        <v>3</v>
      </c>
      <c r="C2" s="21" t="s">
        <v>16</v>
      </c>
      <c r="D2" s="21" t="s">
        <v>2</v>
      </c>
      <c r="E2" s="21" t="s">
        <v>30</v>
      </c>
      <c r="F2" s="22" t="s">
        <v>17</v>
      </c>
      <c r="G2" s="22" t="s">
        <v>69</v>
      </c>
      <c r="H2" s="22" t="s">
        <v>67</v>
      </c>
      <c r="I2" s="22" t="s">
        <v>70</v>
      </c>
      <c r="J2" s="22" t="s">
        <v>68</v>
      </c>
      <c r="K2" s="22" t="s">
        <v>57</v>
      </c>
      <c r="L2" s="22" t="s">
        <v>65</v>
      </c>
    </row>
    <row r="3" spans="1:15" x14ac:dyDescent="0.25">
      <c r="A3" s="5" t="s">
        <v>4</v>
      </c>
      <c r="B3" s="5">
        <v>2022</v>
      </c>
      <c r="C3" s="30"/>
      <c r="D3" s="4" t="s">
        <v>20</v>
      </c>
      <c r="E3" s="10" t="s">
        <v>66</v>
      </c>
      <c r="F3" s="23">
        <v>100</v>
      </c>
      <c r="G3" s="25">
        <f>Table814[[#This Row],[Quantity
(in kg)]]/1000</f>
        <v>0.1</v>
      </c>
      <c r="H3" s="25">
        <v>50</v>
      </c>
      <c r="I3" s="25">
        <f>Table814[[#This Row],[Sent to Landfill (in kg)]]/1000</f>
        <v>0.05</v>
      </c>
      <c r="J3" s="25">
        <f t="shared" ref="J3:J31" si="0">IF(F3="","",I3/G3)</f>
        <v>0.5</v>
      </c>
      <c r="K3" s="27">
        <f>Table814[[#This Row],[GHG Emission (t CO2-e)]]*1000</f>
        <v>3.3250000000000006</v>
      </c>
      <c r="L3" s="29">
        <f t="shared" ref="L3:L31" si="1">G3*J3*0.8*0.25*0.5*0.5*1.33*1</f>
        <v>3.3250000000000007E-3</v>
      </c>
      <c r="M3" s="11"/>
      <c r="N3" s="11"/>
      <c r="O3" s="11"/>
    </row>
    <row r="4" spans="1:15" x14ac:dyDescent="0.25">
      <c r="A4" s="5"/>
      <c r="B4" s="5"/>
      <c r="C4" s="30" t="str">
        <f>IF(D4="","",VLOOKUP(D4,Quarter_VLT[#All],2,FALSE))</f>
        <v/>
      </c>
      <c r="D4" s="4"/>
      <c r="E4" s="10"/>
      <c r="F4" s="23"/>
      <c r="G4" s="25">
        <f>Table814[[#This Row],[Quantity
(in kg)]]/1000</f>
        <v>0</v>
      </c>
      <c r="H4" s="25"/>
      <c r="I4" s="25">
        <f>Table814[[#This Row],[Sent to Landfill (in kg)]]/1000</f>
        <v>0</v>
      </c>
      <c r="J4" s="25" t="str">
        <f t="shared" si="0"/>
        <v/>
      </c>
      <c r="K4" s="27" t="e">
        <f>IF(F3="","",Table814[[#This Row],[GHG Emission (t CO2-e)]]*1000)</f>
        <v>#VALUE!</v>
      </c>
      <c r="L4" s="29" t="e">
        <f t="shared" si="1"/>
        <v>#VALUE!</v>
      </c>
      <c r="M4" s="11"/>
      <c r="N4" s="11"/>
      <c r="O4" s="11"/>
    </row>
    <row r="5" spans="1:15" x14ac:dyDescent="0.25">
      <c r="A5" s="5"/>
      <c r="B5" s="5"/>
      <c r="C5" s="30" t="str">
        <f>IF(D5="","",VLOOKUP(D5,Quarter_VLT[#All],2,FALSE))</f>
        <v/>
      </c>
      <c r="D5" s="4"/>
      <c r="E5" s="10"/>
      <c r="F5" s="23"/>
      <c r="G5" s="25">
        <f>Table814[[#This Row],[Quantity
(in kg)]]/1000</f>
        <v>0</v>
      </c>
      <c r="H5" s="25"/>
      <c r="I5" s="25">
        <f>Table814[[#This Row],[Sent to Landfill (in kg)]]/1000</f>
        <v>0</v>
      </c>
      <c r="J5" s="25" t="str">
        <f t="shared" si="0"/>
        <v/>
      </c>
      <c r="K5" s="27" t="e">
        <f>Table814[[#This Row],[GHG Emission (t CO2-e)]]*1000</f>
        <v>#VALUE!</v>
      </c>
      <c r="L5" s="29" t="e">
        <f t="shared" si="1"/>
        <v>#VALUE!</v>
      </c>
      <c r="M5" s="11"/>
      <c r="N5" s="11"/>
      <c r="O5" s="11"/>
    </row>
    <row r="6" spans="1:15" x14ac:dyDescent="0.25">
      <c r="A6" s="5"/>
      <c r="B6" s="5"/>
      <c r="C6" s="30" t="str">
        <f>IF(D6="","",VLOOKUP(D6,Quarter_VLT[#All],2,FALSE))</f>
        <v/>
      </c>
      <c r="D6" s="4"/>
      <c r="E6" s="10"/>
      <c r="F6" s="23"/>
      <c r="G6" s="25">
        <f>Table814[[#This Row],[Quantity
(in kg)]]/1000</f>
        <v>0</v>
      </c>
      <c r="H6" s="25"/>
      <c r="I6" s="25">
        <f>Table814[[#This Row],[Sent to Landfill (in kg)]]/1000</f>
        <v>0</v>
      </c>
      <c r="J6" s="25" t="str">
        <f t="shared" si="0"/>
        <v/>
      </c>
      <c r="K6" s="27" t="e">
        <f>Table814[[#This Row],[GHG Emission (t CO2-e)]]*1000</f>
        <v>#VALUE!</v>
      </c>
      <c r="L6" s="29" t="e">
        <f t="shared" si="1"/>
        <v>#VALUE!</v>
      </c>
      <c r="M6" s="11"/>
      <c r="N6" s="11"/>
      <c r="O6" s="11"/>
    </row>
    <row r="7" spans="1:15" x14ac:dyDescent="0.25">
      <c r="A7" s="5"/>
      <c r="B7" s="5"/>
      <c r="C7" s="30" t="str">
        <f>IF(D7="","",VLOOKUP(D7,Quarter_VLT[#All],2,FALSE))</f>
        <v/>
      </c>
      <c r="D7" s="4"/>
      <c r="E7" s="10"/>
      <c r="F7" s="23"/>
      <c r="G7" s="25">
        <f>Table814[[#This Row],[Quantity
(in kg)]]/1000</f>
        <v>0</v>
      </c>
      <c r="H7" s="25"/>
      <c r="I7" s="25">
        <f>Table814[[#This Row],[Sent to Landfill (in kg)]]/1000</f>
        <v>0</v>
      </c>
      <c r="J7" s="25" t="str">
        <f t="shared" si="0"/>
        <v/>
      </c>
      <c r="K7" s="27" t="e">
        <f>Table814[[#This Row],[GHG Emission (t CO2-e)]]*1000</f>
        <v>#VALUE!</v>
      </c>
      <c r="L7" s="29" t="e">
        <f t="shared" si="1"/>
        <v>#VALUE!</v>
      </c>
      <c r="M7" s="11"/>
      <c r="N7" s="11"/>
      <c r="O7" s="11"/>
    </row>
    <row r="8" spans="1:15" x14ac:dyDescent="0.25">
      <c r="A8" s="5"/>
      <c r="B8" s="5"/>
      <c r="C8" s="30" t="str">
        <f>IF(D8="","",VLOOKUP(D8,Quarter_VLT[#All],2,FALSE))</f>
        <v/>
      </c>
      <c r="D8" s="4"/>
      <c r="E8" s="10"/>
      <c r="F8" s="23"/>
      <c r="G8" s="25">
        <f>Table814[[#This Row],[Quantity
(in kg)]]/1000</f>
        <v>0</v>
      </c>
      <c r="H8" s="25"/>
      <c r="I8" s="25">
        <f>Table814[[#This Row],[Sent to Landfill (in kg)]]/1000</f>
        <v>0</v>
      </c>
      <c r="J8" s="25" t="str">
        <f t="shared" si="0"/>
        <v/>
      </c>
      <c r="K8" s="27" t="e">
        <f>Table814[[#This Row],[GHG Emission (t CO2-e)]]*1000</f>
        <v>#VALUE!</v>
      </c>
      <c r="L8" s="29" t="e">
        <f t="shared" si="1"/>
        <v>#VALUE!</v>
      </c>
      <c r="M8" s="11"/>
      <c r="N8" s="11"/>
      <c r="O8" s="11"/>
    </row>
    <row r="9" spans="1:15" x14ac:dyDescent="0.25">
      <c r="A9" s="5"/>
      <c r="B9" s="5"/>
      <c r="C9" s="30" t="str">
        <f>IF(D9="","",VLOOKUP(D9,Quarter_VLT[#All],2,FALSE))</f>
        <v/>
      </c>
      <c r="D9" s="4"/>
      <c r="E9" s="10"/>
      <c r="F9" s="23"/>
      <c r="G9" s="25">
        <f>Table814[[#This Row],[Quantity
(in kg)]]/1000</f>
        <v>0</v>
      </c>
      <c r="H9" s="25"/>
      <c r="I9" s="25">
        <f>Table814[[#This Row],[Sent to Landfill (in kg)]]/1000</f>
        <v>0</v>
      </c>
      <c r="J9" s="25" t="str">
        <f t="shared" si="0"/>
        <v/>
      </c>
      <c r="K9" s="27" t="e">
        <f>Table814[[#This Row],[GHG Emission (t CO2-e)]]*1000</f>
        <v>#VALUE!</v>
      </c>
      <c r="L9" s="29" t="e">
        <f t="shared" si="1"/>
        <v>#VALUE!</v>
      </c>
      <c r="M9" s="11"/>
      <c r="N9" s="11"/>
      <c r="O9" s="11"/>
    </row>
    <row r="10" spans="1:15" x14ac:dyDescent="0.25">
      <c r="A10" s="5"/>
      <c r="B10" s="5"/>
      <c r="C10" s="30" t="str">
        <f>IF(D10="","",VLOOKUP(D10,Quarter_VLT[#All],2,FALSE))</f>
        <v/>
      </c>
      <c r="D10" s="4"/>
      <c r="E10" s="10"/>
      <c r="F10" s="23"/>
      <c r="G10" s="25">
        <f>Table814[[#This Row],[Quantity
(in kg)]]/1000</f>
        <v>0</v>
      </c>
      <c r="H10" s="25"/>
      <c r="I10" s="25">
        <f>Table814[[#This Row],[Sent to Landfill (in kg)]]/1000</f>
        <v>0</v>
      </c>
      <c r="J10" s="25" t="str">
        <f t="shared" si="0"/>
        <v/>
      </c>
      <c r="K10" s="27" t="e">
        <f>Table814[[#This Row],[GHG Emission (t CO2-e)]]*1000</f>
        <v>#VALUE!</v>
      </c>
      <c r="L10" s="29" t="e">
        <f t="shared" si="1"/>
        <v>#VALUE!</v>
      </c>
      <c r="M10" s="11"/>
      <c r="N10" s="11"/>
      <c r="O10" s="11"/>
    </row>
    <row r="11" spans="1:15" x14ac:dyDescent="0.25">
      <c r="A11" s="5"/>
      <c r="B11" s="5"/>
      <c r="C11" s="30" t="str">
        <f>IF(D11="","",VLOOKUP(D11,Quarter_VLT[#All],2,FALSE))</f>
        <v/>
      </c>
      <c r="D11" s="4"/>
      <c r="E11" s="10"/>
      <c r="F11" s="23"/>
      <c r="G11" s="25">
        <f>Table814[[#This Row],[Quantity
(in kg)]]/1000</f>
        <v>0</v>
      </c>
      <c r="H11" s="25"/>
      <c r="I11" s="25">
        <f>Table814[[#This Row],[Sent to Landfill (in kg)]]/1000</f>
        <v>0</v>
      </c>
      <c r="J11" s="25" t="str">
        <f t="shared" si="0"/>
        <v/>
      </c>
      <c r="K11" s="27" t="e">
        <f>Table814[[#This Row],[GHG Emission (t CO2-e)]]*1000</f>
        <v>#VALUE!</v>
      </c>
      <c r="L11" s="29" t="e">
        <f t="shared" si="1"/>
        <v>#VALUE!</v>
      </c>
      <c r="M11" s="11"/>
      <c r="N11" s="11"/>
      <c r="O11" s="11"/>
    </row>
    <row r="12" spans="1:15" x14ac:dyDescent="0.25">
      <c r="A12" s="5"/>
      <c r="B12" s="5"/>
      <c r="C12" s="30" t="str">
        <f>IF(D12="","",VLOOKUP(D12,Quarter_VLT[#All],2,FALSE))</f>
        <v/>
      </c>
      <c r="D12" s="4"/>
      <c r="E12" s="10"/>
      <c r="F12" s="23"/>
      <c r="G12" s="25">
        <f>Table814[[#This Row],[Quantity
(in kg)]]/1000</f>
        <v>0</v>
      </c>
      <c r="H12" s="25"/>
      <c r="I12" s="25">
        <f>Table814[[#This Row],[Sent to Landfill (in kg)]]/1000</f>
        <v>0</v>
      </c>
      <c r="J12" s="25" t="str">
        <f t="shared" si="0"/>
        <v/>
      </c>
      <c r="K12" s="27" t="e">
        <f>Table814[[#This Row],[GHG Emission (t CO2-e)]]*1000</f>
        <v>#VALUE!</v>
      </c>
      <c r="L12" s="29" t="e">
        <f t="shared" si="1"/>
        <v>#VALUE!</v>
      </c>
      <c r="M12" s="11"/>
      <c r="N12" s="11"/>
      <c r="O12" s="11"/>
    </row>
    <row r="13" spans="1:15" x14ac:dyDescent="0.25">
      <c r="A13" s="5"/>
      <c r="B13" s="5"/>
      <c r="C13" s="30" t="str">
        <f>IF(D13="","",VLOOKUP(D13,Quarter_VLT[#All],2,FALSE))</f>
        <v/>
      </c>
      <c r="D13" s="4"/>
      <c r="E13" s="10"/>
      <c r="F13" s="23"/>
      <c r="G13" s="25">
        <f>Table814[[#This Row],[Quantity
(in kg)]]/1000</f>
        <v>0</v>
      </c>
      <c r="H13" s="25"/>
      <c r="I13" s="25">
        <f>Table814[[#This Row],[Sent to Landfill (in kg)]]/1000</f>
        <v>0</v>
      </c>
      <c r="J13" s="25" t="str">
        <f t="shared" si="0"/>
        <v/>
      </c>
      <c r="K13" s="27" t="e">
        <f>Table814[[#This Row],[GHG Emission (t CO2-e)]]*1000</f>
        <v>#VALUE!</v>
      </c>
      <c r="L13" s="29" t="e">
        <f t="shared" si="1"/>
        <v>#VALUE!</v>
      </c>
      <c r="M13" s="11"/>
      <c r="N13" s="11"/>
      <c r="O13" s="12"/>
    </row>
    <row r="14" spans="1:15" x14ac:dyDescent="0.25">
      <c r="A14" s="5"/>
      <c r="B14" s="5"/>
      <c r="C14" s="30" t="str">
        <f>IF(D14="","",VLOOKUP(D14,Quarter_VLT[#All],2,FALSE))</f>
        <v/>
      </c>
      <c r="D14" s="4"/>
      <c r="E14" s="10"/>
      <c r="F14" s="23"/>
      <c r="G14" s="25">
        <f>Table814[[#This Row],[Quantity
(in kg)]]/1000</f>
        <v>0</v>
      </c>
      <c r="H14" s="25"/>
      <c r="I14" s="25">
        <f>Table814[[#This Row],[Sent to Landfill (in kg)]]/1000</f>
        <v>0</v>
      </c>
      <c r="J14" s="25" t="str">
        <f t="shared" si="0"/>
        <v/>
      </c>
      <c r="K14" s="27" t="e">
        <f>Table814[[#This Row],[GHG Emission (t CO2-e)]]*1000</f>
        <v>#VALUE!</v>
      </c>
      <c r="L14" s="29" t="e">
        <f t="shared" si="1"/>
        <v>#VALUE!</v>
      </c>
      <c r="M14" s="11"/>
      <c r="N14" s="11"/>
      <c r="O14" s="11"/>
    </row>
    <row r="15" spans="1:15" x14ac:dyDescent="0.25">
      <c r="A15" s="5"/>
      <c r="B15" s="5"/>
      <c r="C15" s="30" t="str">
        <f>IF(D15="","",VLOOKUP(D15,Quarter_VLT[#All],2,FALSE))</f>
        <v/>
      </c>
      <c r="D15" s="4"/>
      <c r="E15" s="10"/>
      <c r="F15" s="23"/>
      <c r="G15" s="25">
        <f>Table814[[#This Row],[Quantity
(in kg)]]/1000</f>
        <v>0</v>
      </c>
      <c r="H15" s="25"/>
      <c r="I15" s="25">
        <f>Table814[[#This Row],[Sent to Landfill (in kg)]]/1000</f>
        <v>0</v>
      </c>
      <c r="J15" s="25" t="str">
        <f t="shared" si="0"/>
        <v/>
      </c>
      <c r="K15" s="27" t="e">
        <f>Table814[[#This Row],[GHG Emission (t CO2-e)]]*1000</f>
        <v>#VALUE!</v>
      </c>
      <c r="L15" s="29" t="e">
        <f t="shared" si="1"/>
        <v>#VALUE!</v>
      </c>
      <c r="M15" s="11"/>
      <c r="N15" s="11"/>
      <c r="O15" s="11"/>
    </row>
    <row r="16" spans="1:15" x14ac:dyDescent="0.25">
      <c r="A16" s="5"/>
      <c r="B16" s="5"/>
      <c r="C16" s="30" t="str">
        <f>IF(D16="","",VLOOKUP(D16,Quarter_VLT[#All],2,FALSE))</f>
        <v/>
      </c>
      <c r="D16" s="4"/>
      <c r="E16" s="10"/>
      <c r="F16" s="23"/>
      <c r="G16" s="25">
        <f>Table814[[#This Row],[Quantity
(in kg)]]/1000</f>
        <v>0</v>
      </c>
      <c r="H16" s="25"/>
      <c r="I16" s="25">
        <f>Table814[[#This Row],[Sent to Landfill (in kg)]]/1000</f>
        <v>0</v>
      </c>
      <c r="J16" s="25" t="str">
        <f t="shared" si="0"/>
        <v/>
      </c>
      <c r="K16" s="27" t="e">
        <f>Table814[[#This Row],[GHG Emission (t CO2-e)]]*1000</f>
        <v>#VALUE!</v>
      </c>
      <c r="L16" s="29" t="e">
        <f t="shared" si="1"/>
        <v>#VALUE!</v>
      </c>
      <c r="M16" s="11"/>
      <c r="N16" s="11"/>
      <c r="O16" s="11"/>
    </row>
    <row r="17" spans="1:17" x14ac:dyDescent="0.25">
      <c r="A17" s="5"/>
      <c r="B17" s="5"/>
      <c r="C17" s="30" t="str">
        <f>IF(D17="","",VLOOKUP(D17,Quarter_VLT[#All],2,FALSE))</f>
        <v/>
      </c>
      <c r="D17" s="4"/>
      <c r="E17" s="10"/>
      <c r="F17" s="23"/>
      <c r="G17" s="25">
        <f>Table814[[#This Row],[Quantity
(in kg)]]/1000</f>
        <v>0</v>
      </c>
      <c r="H17" s="25"/>
      <c r="I17" s="25">
        <f>Table814[[#This Row],[Sent to Landfill (in kg)]]/1000</f>
        <v>0</v>
      </c>
      <c r="J17" s="25" t="str">
        <f t="shared" si="0"/>
        <v/>
      </c>
      <c r="K17" s="27" t="e">
        <f>Table814[[#This Row],[GHG Emission (t CO2-e)]]*1000</f>
        <v>#VALUE!</v>
      </c>
      <c r="L17" s="29" t="e">
        <f t="shared" si="1"/>
        <v>#VALUE!</v>
      </c>
      <c r="M17" s="11"/>
      <c r="N17" s="11"/>
      <c r="O17" s="11"/>
    </row>
    <row r="18" spans="1:17" x14ac:dyDescent="0.25">
      <c r="A18" s="5"/>
      <c r="B18" s="5"/>
      <c r="C18" s="30" t="str">
        <f>IF(D18="","",VLOOKUP(D18,Quarter_VLT[#All],2,FALSE))</f>
        <v/>
      </c>
      <c r="D18" s="4"/>
      <c r="E18" s="10"/>
      <c r="F18" s="23"/>
      <c r="G18" s="25">
        <f>Table814[[#This Row],[Quantity
(in kg)]]/1000</f>
        <v>0</v>
      </c>
      <c r="H18" s="25"/>
      <c r="I18" s="25">
        <f>Table814[[#This Row],[Sent to Landfill (in kg)]]/1000</f>
        <v>0</v>
      </c>
      <c r="J18" s="25" t="str">
        <f t="shared" si="0"/>
        <v/>
      </c>
      <c r="K18" s="27" t="e">
        <f>Table814[[#This Row],[GHG Emission (t CO2-e)]]*1000</f>
        <v>#VALUE!</v>
      </c>
      <c r="L18" s="29" t="e">
        <f t="shared" si="1"/>
        <v>#VALUE!</v>
      </c>
      <c r="M18" s="11"/>
      <c r="N18" s="11"/>
      <c r="O18" s="11"/>
    </row>
    <row r="19" spans="1:17" x14ac:dyDescent="0.25">
      <c r="A19" s="5"/>
      <c r="B19" s="5"/>
      <c r="C19" s="30" t="str">
        <f>IF(D19="","",VLOOKUP(D19,Quarter_VLT[#All],2,FALSE))</f>
        <v/>
      </c>
      <c r="D19" s="4"/>
      <c r="E19" s="10"/>
      <c r="F19" s="23"/>
      <c r="G19" s="25">
        <f>Table814[[#This Row],[Quantity
(in kg)]]/1000</f>
        <v>0</v>
      </c>
      <c r="H19" s="25"/>
      <c r="I19" s="25">
        <f>Table814[[#This Row],[Sent to Landfill (in kg)]]/1000</f>
        <v>0</v>
      </c>
      <c r="J19" s="25" t="str">
        <f t="shared" si="0"/>
        <v/>
      </c>
      <c r="K19" s="27" t="e">
        <f>Table814[[#This Row],[GHG Emission (t CO2-e)]]*1000</f>
        <v>#VALUE!</v>
      </c>
      <c r="L19" s="29" t="e">
        <f t="shared" si="1"/>
        <v>#VALUE!</v>
      </c>
      <c r="M19" s="11"/>
      <c r="N19" s="11"/>
      <c r="O19" s="11"/>
    </row>
    <row r="20" spans="1:17" x14ac:dyDescent="0.25">
      <c r="A20" s="5"/>
      <c r="B20" s="5"/>
      <c r="C20" s="30" t="str">
        <f>IF(D20="","",VLOOKUP(D20,Quarter_VLT[#All],2,FALSE))</f>
        <v/>
      </c>
      <c r="D20" s="4"/>
      <c r="E20" s="10"/>
      <c r="F20" s="23"/>
      <c r="G20" s="25">
        <f>Table814[[#This Row],[Quantity
(in kg)]]/1000</f>
        <v>0</v>
      </c>
      <c r="H20" s="25"/>
      <c r="I20" s="25">
        <f>Table814[[#This Row],[Sent to Landfill (in kg)]]/1000</f>
        <v>0</v>
      </c>
      <c r="J20" s="25" t="str">
        <f t="shared" si="0"/>
        <v/>
      </c>
      <c r="K20" s="27" t="e">
        <f>Table814[[#This Row],[GHG Emission (t CO2-e)]]*1000</f>
        <v>#VALUE!</v>
      </c>
      <c r="L20" s="29" t="e">
        <f t="shared" si="1"/>
        <v>#VALUE!</v>
      </c>
      <c r="M20" s="11"/>
      <c r="N20" s="11"/>
      <c r="O20" s="11"/>
    </row>
    <row r="21" spans="1:17" x14ac:dyDescent="0.25">
      <c r="A21" s="5"/>
      <c r="B21" s="5"/>
      <c r="C21" s="30" t="str">
        <f>IF(D21="","",VLOOKUP(D21,Quarter_VLT[#All],2,FALSE))</f>
        <v/>
      </c>
      <c r="D21" s="4"/>
      <c r="E21" s="10"/>
      <c r="F21" s="23"/>
      <c r="G21" s="25">
        <f>Table814[[#This Row],[Quantity
(in kg)]]/1000</f>
        <v>0</v>
      </c>
      <c r="H21" s="25"/>
      <c r="I21" s="25">
        <f>Table814[[#This Row],[Sent to Landfill (in kg)]]/1000</f>
        <v>0</v>
      </c>
      <c r="J21" s="25" t="str">
        <f t="shared" si="0"/>
        <v/>
      </c>
      <c r="K21" s="27" t="e">
        <f>Table814[[#This Row],[GHG Emission (t CO2-e)]]*1000</f>
        <v>#VALUE!</v>
      </c>
      <c r="L21" s="29" t="e">
        <f t="shared" si="1"/>
        <v>#VALUE!</v>
      </c>
      <c r="M21" s="11"/>
      <c r="N21" s="11"/>
      <c r="O21" s="11"/>
    </row>
    <row r="22" spans="1:17" x14ac:dyDescent="0.25">
      <c r="A22" s="5"/>
      <c r="B22" s="5"/>
      <c r="C22" s="30" t="str">
        <f>IF(D22="","",VLOOKUP(D22,Quarter_VLT[#All],2,FALSE))</f>
        <v/>
      </c>
      <c r="D22" s="4"/>
      <c r="E22" s="10"/>
      <c r="F22" s="23"/>
      <c r="G22" s="25">
        <f>Table814[[#This Row],[Quantity
(in kg)]]/1000</f>
        <v>0</v>
      </c>
      <c r="H22" s="25"/>
      <c r="I22" s="25">
        <f>Table814[[#This Row],[Sent to Landfill (in kg)]]/1000</f>
        <v>0</v>
      </c>
      <c r="J22" s="25" t="str">
        <f t="shared" si="0"/>
        <v/>
      </c>
      <c r="K22" s="27" t="e">
        <f>Table814[[#This Row],[GHG Emission (t CO2-e)]]*1000</f>
        <v>#VALUE!</v>
      </c>
      <c r="L22" s="29" t="e">
        <f t="shared" si="1"/>
        <v>#VALUE!</v>
      </c>
      <c r="M22" s="11"/>
      <c r="N22" s="11"/>
      <c r="O22" s="11"/>
    </row>
    <row r="23" spans="1:17" x14ac:dyDescent="0.25">
      <c r="A23" s="5"/>
      <c r="B23" s="5"/>
      <c r="C23" s="30" t="str">
        <f>IF(D23="","",VLOOKUP(D23,Quarter_VLT[#All],2,FALSE))</f>
        <v/>
      </c>
      <c r="D23" s="4"/>
      <c r="E23" s="10"/>
      <c r="F23" s="23"/>
      <c r="G23" s="25">
        <f>Table814[[#This Row],[Quantity
(in kg)]]/1000</f>
        <v>0</v>
      </c>
      <c r="H23" s="25"/>
      <c r="I23" s="25">
        <f>Table814[[#This Row],[Sent to Landfill (in kg)]]/1000</f>
        <v>0</v>
      </c>
      <c r="J23" s="25" t="str">
        <f t="shared" si="0"/>
        <v/>
      </c>
      <c r="K23" s="27" t="e">
        <f>Table814[[#This Row],[GHG Emission (t CO2-e)]]*1000</f>
        <v>#VALUE!</v>
      </c>
      <c r="L23" s="29" t="e">
        <f t="shared" si="1"/>
        <v>#VALUE!</v>
      </c>
      <c r="M23" s="11"/>
      <c r="N23" s="11"/>
      <c r="O23" s="11"/>
    </row>
    <row r="24" spans="1:17" x14ac:dyDescent="0.25">
      <c r="A24" s="5"/>
      <c r="B24" s="5"/>
      <c r="C24" s="30" t="str">
        <f>IF(D24="","",VLOOKUP(D24,Quarter_VLT[#All],2,FALSE))</f>
        <v/>
      </c>
      <c r="D24" s="4"/>
      <c r="E24" s="10"/>
      <c r="F24" s="23"/>
      <c r="G24" s="25">
        <f>Table814[[#This Row],[Quantity
(in kg)]]/1000</f>
        <v>0</v>
      </c>
      <c r="H24" s="25"/>
      <c r="I24" s="25">
        <f>Table814[[#This Row],[Sent to Landfill (in kg)]]/1000</f>
        <v>0</v>
      </c>
      <c r="J24" s="25" t="str">
        <f t="shared" si="0"/>
        <v/>
      </c>
      <c r="K24" s="27" t="e">
        <f>Table814[[#This Row],[GHG Emission (t CO2-e)]]*1000</f>
        <v>#VALUE!</v>
      </c>
      <c r="L24" s="29" t="e">
        <f t="shared" si="1"/>
        <v>#VALUE!</v>
      </c>
      <c r="M24" s="11"/>
      <c r="N24" s="11"/>
      <c r="O24" s="11"/>
    </row>
    <row r="25" spans="1:17" x14ac:dyDescent="0.25">
      <c r="A25" s="5"/>
      <c r="B25" s="5"/>
      <c r="C25" s="30" t="str">
        <f>IF(D25="","",VLOOKUP(D25,Quarter_VLT[#All],2,FALSE))</f>
        <v/>
      </c>
      <c r="D25" s="4"/>
      <c r="E25" s="10"/>
      <c r="F25" s="23"/>
      <c r="G25" s="25">
        <f>Table814[[#This Row],[Quantity
(in kg)]]/1000</f>
        <v>0</v>
      </c>
      <c r="H25" s="25"/>
      <c r="I25" s="25">
        <f>Table814[[#This Row],[Sent to Landfill (in kg)]]/1000</f>
        <v>0</v>
      </c>
      <c r="J25" s="25" t="str">
        <f t="shared" si="0"/>
        <v/>
      </c>
      <c r="K25" s="27" t="e">
        <f>Table814[[#This Row],[GHG Emission (t CO2-e)]]*1000</f>
        <v>#VALUE!</v>
      </c>
      <c r="L25" s="29" t="e">
        <f t="shared" si="1"/>
        <v>#VALUE!</v>
      </c>
      <c r="M25" s="11"/>
      <c r="N25" s="11"/>
      <c r="O25" s="11"/>
    </row>
    <row r="26" spans="1:17" x14ac:dyDescent="0.25">
      <c r="A26" s="5"/>
      <c r="B26" s="5"/>
      <c r="C26" s="30" t="str">
        <f>IF(D26="","",VLOOKUP(D26,Quarter_VLT[#All],2,FALSE))</f>
        <v/>
      </c>
      <c r="D26" s="4"/>
      <c r="E26" s="10"/>
      <c r="F26" s="23"/>
      <c r="G26" s="25">
        <f>Table814[[#This Row],[Quantity
(in kg)]]/1000</f>
        <v>0</v>
      </c>
      <c r="H26" s="25"/>
      <c r="I26" s="25">
        <f>Table814[[#This Row],[Sent to Landfill (in kg)]]/1000</f>
        <v>0</v>
      </c>
      <c r="J26" s="25" t="str">
        <f t="shared" si="0"/>
        <v/>
      </c>
      <c r="K26" s="27" t="e">
        <f>Table814[[#This Row],[GHG Emission (t CO2-e)]]*1000</f>
        <v>#VALUE!</v>
      </c>
      <c r="L26" s="29" t="e">
        <f t="shared" si="1"/>
        <v>#VALUE!</v>
      </c>
      <c r="M26" s="11"/>
      <c r="N26" s="11"/>
      <c r="O26" s="11"/>
    </row>
    <row r="27" spans="1:17" x14ac:dyDescent="0.25">
      <c r="A27" s="5"/>
      <c r="B27" s="5"/>
      <c r="C27" s="30" t="str">
        <f>IF(D27="","",VLOOKUP(D27,Quarter_VLT[#All],2,FALSE))</f>
        <v/>
      </c>
      <c r="D27" s="4"/>
      <c r="E27" s="10"/>
      <c r="F27" s="23"/>
      <c r="G27" s="25">
        <f>Table814[[#This Row],[Quantity
(in kg)]]/1000</f>
        <v>0</v>
      </c>
      <c r="H27" s="25"/>
      <c r="I27" s="25">
        <f>Table814[[#This Row],[Sent to Landfill (in kg)]]/1000</f>
        <v>0</v>
      </c>
      <c r="J27" s="25" t="str">
        <f t="shared" si="0"/>
        <v/>
      </c>
      <c r="K27" s="27" t="e">
        <f>Table814[[#This Row],[GHG Emission (t CO2-e)]]*1000</f>
        <v>#VALUE!</v>
      </c>
      <c r="L27" s="29" t="e">
        <f t="shared" si="1"/>
        <v>#VALUE!</v>
      </c>
      <c r="M27" s="11"/>
      <c r="N27" s="11"/>
      <c r="O27" s="11"/>
    </row>
    <row r="28" spans="1:17" x14ac:dyDescent="0.25">
      <c r="A28" s="6"/>
      <c r="B28" s="6"/>
      <c r="C28" s="31" t="str">
        <f>IF(D28="","",VLOOKUP(D28,Quarter_VLT[#All],2,FALSE))</f>
        <v/>
      </c>
      <c r="D28" s="19"/>
      <c r="E28" s="10"/>
      <c r="F28" s="23"/>
      <c r="G28" s="25">
        <f>Table814[[#This Row],[Quantity
(in kg)]]/1000</f>
        <v>0</v>
      </c>
      <c r="H28" s="25"/>
      <c r="I28" s="25">
        <f>Table814[[#This Row],[Sent to Landfill (in kg)]]/1000</f>
        <v>0</v>
      </c>
      <c r="J28" s="25" t="str">
        <f t="shared" si="0"/>
        <v/>
      </c>
      <c r="K28" s="27" t="e">
        <f>Table814[[#This Row],[GHG Emission (t CO2-e)]]*1000</f>
        <v>#VALUE!</v>
      </c>
      <c r="L28" s="29" t="e">
        <f t="shared" si="1"/>
        <v>#VALUE!</v>
      </c>
      <c r="M28" s="11"/>
      <c r="N28" s="13"/>
      <c r="O28" s="13"/>
      <c r="P28" s="14"/>
      <c r="Q28" s="14"/>
    </row>
    <row r="29" spans="1:17" x14ac:dyDescent="0.25">
      <c r="A29" s="6"/>
      <c r="B29" s="6"/>
      <c r="C29" s="31" t="str">
        <f>IF(D29="","",VLOOKUP(D29,Quarter_VLT[#All],2,FALSE))</f>
        <v/>
      </c>
      <c r="D29" s="19"/>
      <c r="E29" s="10"/>
      <c r="F29" s="23"/>
      <c r="G29" s="25">
        <f>Table814[[#This Row],[Quantity
(in kg)]]/1000</f>
        <v>0</v>
      </c>
      <c r="H29" s="25"/>
      <c r="I29" s="25">
        <f>Table814[[#This Row],[Sent to Landfill (in kg)]]/1000</f>
        <v>0</v>
      </c>
      <c r="J29" s="25" t="str">
        <f t="shared" si="0"/>
        <v/>
      </c>
      <c r="K29" s="27" t="e">
        <f>Table814[[#This Row],[GHG Emission (t CO2-e)]]*1000</f>
        <v>#VALUE!</v>
      </c>
      <c r="L29" s="29" t="e">
        <f t="shared" si="1"/>
        <v>#VALUE!</v>
      </c>
      <c r="M29" s="11"/>
      <c r="N29" s="13"/>
      <c r="P29" s="14"/>
    </row>
    <row r="30" spans="1:17" x14ac:dyDescent="0.25">
      <c r="A30" s="6"/>
      <c r="B30" s="6"/>
      <c r="C30" s="31" t="str">
        <f>IF(D30="","",VLOOKUP(D30,Quarter_VLT[#All],2,FALSE))</f>
        <v/>
      </c>
      <c r="D30" s="19"/>
      <c r="E30" s="10"/>
      <c r="F30" s="23"/>
      <c r="G30" s="25">
        <f>Table814[[#This Row],[Quantity
(in kg)]]/1000</f>
        <v>0</v>
      </c>
      <c r="H30" s="25"/>
      <c r="I30" s="25">
        <f>Table814[[#This Row],[Sent to Landfill (in kg)]]/1000</f>
        <v>0</v>
      </c>
      <c r="J30" s="25" t="str">
        <f t="shared" si="0"/>
        <v/>
      </c>
      <c r="K30" s="27" t="e">
        <f>Table814[[#This Row],[GHG Emission (t CO2-e)]]*1000</f>
        <v>#VALUE!</v>
      </c>
      <c r="L30" s="29" t="e">
        <f t="shared" si="1"/>
        <v>#VALUE!</v>
      </c>
      <c r="M30" s="11"/>
      <c r="N30" s="13"/>
      <c r="P30" s="14"/>
    </row>
    <row r="31" spans="1:17" x14ac:dyDescent="0.25">
      <c r="A31" s="6"/>
      <c r="B31" s="6"/>
      <c r="C31" s="31" t="str">
        <f>IF(D31="","",VLOOKUP(D31,Quarter_VLT[#All],2,FALSE))</f>
        <v/>
      </c>
      <c r="D31" s="19"/>
      <c r="E31" s="10"/>
      <c r="F31" s="23"/>
      <c r="G31" s="25">
        <f>Table814[[#This Row],[Quantity
(in kg)]]/1000</f>
        <v>0</v>
      </c>
      <c r="H31" s="25"/>
      <c r="I31" s="25">
        <f>Table814[[#This Row],[Sent to Landfill (in kg)]]/1000</f>
        <v>0</v>
      </c>
      <c r="J31" s="25" t="str">
        <f t="shared" si="0"/>
        <v/>
      </c>
      <c r="K31" s="27" t="e">
        <f>Table814[[#This Row],[GHG Emission (t CO2-e)]]*1000</f>
        <v>#VALUE!</v>
      </c>
      <c r="L31" s="29" t="e">
        <f t="shared" si="1"/>
        <v>#VALUE!</v>
      </c>
      <c r="M31" s="11"/>
      <c r="N31" s="13"/>
      <c r="P31" s="14"/>
    </row>
  </sheetData>
  <sheetProtection selectLockedCells="1"/>
  <dataValidations count="5">
    <dataValidation type="list" allowBlank="1" showInputMessage="1" showErrorMessage="1" errorTitle="-CenteForSustainableDevelopment" error="Invaid input!_x000a__x000a_Select from the dropdown list..._x000a__x000a_-rr_x000a_" sqref="B3:B31" xr:uid="{2BD72353-EE4B-491D-8E94-DED57F23842B}">
      <formula1>year</formula1>
    </dataValidation>
    <dataValidation type="decimal" operator="greaterThanOrEqual" allowBlank="1" showInputMessage="1" showErrorMessage="1" errorTitle="-CenterforSustainableDevelopment" error="Invaid input!_x000a__x000a_Must be a valid number..._x000a__x000a_-rr_x000a_" sqref="F3:J31" xr:uid="{B1E5FA8F-4118-4A75-93E6-3A6F16D04911}">
      <formula1>0</formula1>
    </dataValidation>
    <dataValidation type="list" operator="lessThanOrEqual" allowBlank="1" showInputMessage="1" showErrorMessage="1" errorTitle="-CenterForSustainableDevelopment" error="Invaid input!_x000a__x000a_Select from the dropdown list..._x000a__x000a_-rr_x000a_" sqref="E4:E31" xr:uid="{59A03B04-2519-47A4-A904-A0BE91C33F6F}">
      <formula1>type</formula1>
    </dataValidation>
    <dataValidation type="list" operator="lessThanOrEqual" allowBlank="1" showInputMessage="1" showErrorMessage="1" errorTitle="-CenteForSustainableDevelopment" error="Invaid input!_x000a__x000a_Select from the dropdown list..._x000a__x000a_-rr_x000a_" sqref="D3:D31" xr:uid="{955998D2-4327-4027-A398-EA6BD9C73144}">
      <formula1>month</formula1>
    </dataValidation>
    <dataValidation type="list" allowBlank="1" showInputMessage="1" showErrorMessage="1" errorTitle="-CenterForSustainablDevelopment" error="Invaid input!_x000a__x000a_Select from the dropdown list..._x000a__x000a_-rr_x000a_" sqref="A3:A31" xr:uid="{56B950C2-7DEB-48A8-A9DC-C14C2253FCF6}">
      <formula1>campus</formula1>
    </dataValidation>
  </dataValidations>
  <pageMargins left="0.7" right="0.7" top="1.1000000000000001" bottom="0.75" header="0.3" footer="0.3"/>
  <pageSetup paperSize="14" scale="93" fitToHeight="0" orientation="portrait" horizontalDpi="0" verticalDpi="0" r:id="rId1"/>
  <headerFooter>
    <oddHeader>&amp;L&amp;G&amp;C
&amp;"Arial Nova,Bold"&amp;16 Solid Waste Report</oddHeader>
    <oddFooter>&amp;C&amp;9Prepared by Data Analyst &amp;D&amp;R&amp;9&amp;Z&amp;F   &amp;"-,Italic"Page &amp;P of &amp;N</oddFooter>
  </headerFooter>
  <legacyDrawingHF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lessThanOrEqual" allowBlank="1" showInputMessage="1" showErrorMessage="1" errorTitle="-CenterForSustainableDevelopment" error="Invaid input!_x000a__x000a_Select from the dropdown list..._x000a__x000a_-rr_x000a_" xr:uid="{A517A456-DE4B-4DF2-ACAF-85A4E0F9ADF7}">
          <x14:formula1>
            <xm:f>DROPDOWN!$P$2</xm:f>
          </x14:formula1>
          <xm:sqref>E3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F7619-B915-4EEC-A4B2-2C4191E73B9A}">
  <dimension ref="A1:P18"/>
  <sheetViews>
    <sheetView topLeftCell="J1" zoomScale="130" zoomScaleNormal="130" workbookViewId="0">
      <selection activeCell="O12" sqref="O12"/>
    </sheetView>
  </sheetViews>
  <sheetFormatPr defaultRowHeight="15" x14ac:dyDescent="0.25"/>
  <cols>
    <col min="1" max="1" width="16.7109375" bestFit="1" customWidth="1"/>
    <col min="2" max="2" width="24.7109375" customWidth="1"/>
    <col min="3" max="3" width="10.85546875" bestFit="1" customWidth="1"/>
    <col min="4" max="5" width="10.85546875" customWidth="1"/>
    <col min="6" max="6" width="5.42578125" bestFit="1" customWidth="1"/>
    <col min="7" max="7" width="28.85546875" bestFit="1" customWidth="1"/>
    <col min="8" max="8" width="5.28515625" customWidth="1"/>
    <col min="9" max="9" width="23" customWidth="1"/>
    <col min="10" max="10" width="26.7109375" bestFit="1" customWidth="1"/>
    <col min="11" max="11" width="14.7109375" customWidth="1"/>
    <col min="12" max="12" width="14.140625" customWidth="1"/>
    <col min="13" max="13" width="9.85546875" customWidth="1"/>
    <col min="14" max="14" width="16.42578125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2</v>
      </c>
      <c r="E1" s="2" t="s">
        <v>16</v>
      </c>
      <c r="F1" s="2" t="s">
        <v>3</v>
      </c>
      <c r="G1" s="2" t="s">
        <v>37</v>
      </c>
      <c r="I1" s="2" t="s">
        <v>35</v>
      </c>
      <c r="J1" s="2" t="s">
        <v>31</v>
      </c>
      <c r="K1" s="2" t="s">
        <v>32</v>
      </c>
      <c r="L1" s="2" t="s">
        <v>44</v>
      </c>
      <c r="M1" s="2" t="s">
        <v>33</v>
      </c>
      <c r="N1" s="2" t="s">
        <v>48</v>
      </c>
      <c r="P1" s="2" t="s">
        <v>53</v>
      </c>
    </row>
    <row r="2" spans="1:16" x14ac:dyDescent="0.25">
      <c r="A2" s="3" t="s">
        <v>4</v>
      </c>
      <c r="B2" t="s">
        <v>31</v>
      </c>
      <c r="C2" s="1" t="s">
        <v>18</v>
      </c>
      <c r="D2" s="1" t="s">
        <v>18</v>
      </c>
      <c r="E2" s="1" t="s">
        <v>49</v>
      </c>
      <c r="F2">
        <v>2021</v>
      </c>
      <c r="G2" t="s">
        <v>31</v>
      </c>
      <c r="I2" t="s">
        <v>31</v>
      </c>
      <c r="J2" t="s">
        <v>55</v>
      </c>
      <c r="K2" t="s">
        <v>41</v>
      </c>
      <c r="L2" t="s">
        <v>45</v>
      </c>
      <c r="M2" t="s">
        <v>33</v>
      </c>
      <c r="N2" t="s">
        <v>36</v>
      </c>
      <c r="P2" t="s">
        <v>66</v>
      </c>
    </row>
    <row r="3" spans="1:16" x14ac:dyDescent="0.25">
      <c r="A3" s="3" t="s">
        <v>5</v>
      </c>
      <c r="B3" t="s">
        <v>34</v>
      </c>
      <c r="C3" s="1" t="s">
        <v>19</v>
      </c>
      <c r="D3" s="1" t="s">
        <v>19</v>
      </c>
      <c r="E3" s="1" t="s">
        <v>49</v>
      </c>
      <c r="F3">
        <v>2022</v>
      </c>
      <c r="G3" t="s">
        <v>32</v>
      </c>
      <c r="I3" t="s">
        <v>32</v>
      </c>
      <c r="J3" t="s">
        <v>40</v>
      </c>
      <c r="K3" t="s">
        <v>42</v>
      </c>
      <c r="L3" t="s">
        <v>46</v>
      </c>
    </row>
    <row r="4" spans="1:16" x14ac:dyDescent="0.25">
      <c r="A4" s="3" t="s">
        <v>6</v>
      </c>
      <c r="B4" t="s">
        <v>32</v>
      </c>
      <c r="C4" s="1" t="s">
        <v>20</v>
      </c>
      <c r="D4" s="1" t="s">
        <v>20</v>
      </c>
      <c r="E4" s="1" t="s">
        <v>49</v>
      </c>
      <c r="F4">
        <v>2023</v>
      </c>
      <c r="G4" t="s">
        <v>33</v>
      </c>
      <c r="J4" t="s">
        <v>56</v>
      </c>
      <c r="K4" t="s">
        <v>43</v>
      </c>
      <c r="L4" t="s">
        <v>47</v>
      </c>
    </row>
    <row r="5" spans="1:16" x14ac:dyDescent="0.25">
      <c r="A5" s="3" t="s">
        <v>7</v>
      </c>
      <c r="B5" t="s">
        <v>33</v>
      </c>
      <c r="C5" s="1" t="s">
        <v>21</v>
      </c>
      <c r="D5" s="1" t="s">
        <v>21</v>
      </c>
      <c r="E5" s="1" t="s">
        <v>50</v>
      </c>
      <c r="G5" t="s">
        <v>48</v>
      </c>
      <c r="K5" t="s">
        <v>54</v>
      </c>
    </row>
    <row r="6" spans="1:16" x14ac:dyDescent="0.25">
      <c r="A6" s="3" t="s">
        <v>8</v>
      </c>
      <c r="C6" s="1" t="s">
        <v>22</v>
      </c>
      <c r="D6" s="1" t="s">
        <v>22</v>
      </c>
      <c r="E6" s="1" t="s">
        <v>50</v>
      </c>
    </row>
    <row r="7" spans="1:16" x14ac:dyDescent="0.25">
      <c r="A7" s="3" t="s">
        <v>9</v>
      </c>
      <c r="C7" s="1" t="s">
        <v>23</v>
      </c>
      <c r="D7" s="1" t="s">
        <v>23</v>
      </c>
      <c r="E7" s="1" t="s">
        <v>50</v>
      </c>
    </row>
    <row r="8" spans="1:16" x14ac:dyDescent="0.25">
      <c r="A8" s="3" t="s">
        <v>10</v>
      </c>
      <c r="C8" s="1" t="s">
        <v>24</v>
      </c>
      <c r="D8" s="1" t="s">
        <v>24</v>
      </c>
      <c r="E8" s="1" t="s">
        <v>51</v>
      </c>
    </row>
    <row r="9" spans="1:16" x14ac:dyDescent="0.25">
      <c r="A9" s="3" t="s">
        <v>11</v>
      </c>
      <c r="C9" s="1" t="s">
        <v>25</v>
      </c>
      <c r="D9" s="1" t="s">
        <v>25</v>
      </c>
      <c r="E9" s="1" t="s">
        <v>51</v>
      </c>
    </row>
    <row r="10" spans="1:16" x14ac:dyDescent="0.25">
      <c r="A10" s="3" t="s">
        <v>12</v>
      </c>
      <c r="C10" s="1" t="s">
        <v>26</v>
      </c>
      <c r="D10" s="1" t="s">
        <v>26</v>
      </c>
      <c r="E10" s="1" t="s">
        <v>51</v>
      </c>
      <c r="J10" t="str">
        <f>CONCATENATE(Table5[[#Headers],[Biodegradable]],J2)</f>
        <v>BiodegradableGarden Waste</v>
      </c>
    </row>
    <row r="11" spans="1:16" x14ac:dyDescent="0.25">
      <c r="A11" s="3" t="s">
        <v>13</v>
      </c>
      <c r="C11" s="1" t="s">
        <v>27</v>
      </c>
      <c r="D11" s="1" t="s">
        <v>27</v>
      </c>
      <c r="E11" s="1" t="s">
        <v>52</v>
      </c>
      <c r="J11" t="str">
        <f>CONCATENATE(Table5[[#Headers],[Biodegradable]],J3)</f>
        <v>BiodegradableFood Waste</v>
      </c>
    </row>
    <row r="12" spans="1:16" x14ac:dyDescent="0.25">
      <c r="A12" s="3" t="s">
        <v>14</v>
      </c>
      <c r="C12" s="1" t="s">
        <v>28</v>
      </c>
      <c r="D12" s="1" t="s">
        <v>28</v>
      </c>
      <c r="E12" s="1" t="s">
        <v>52</v>
      </c>
      <c r="J12" t="str">
        <f>CONCATENATE(Table5[[#Headers],[Biodegradable]],J4)</f>
        <v>BiodegradableMixed Food &amp; Garden Waste</v>
      </c>
    </row>
    <row r="13" spans="1:16" x14ac:dyDescent="0.25">
      <c r="A13" s="3" t="s">
        <v>15</v>
      </c>
      <c r="C13" s="1" t="s">
        <v>29</v>
      </c>
      <c r="D13" s="1" t="s">
        <v>29</v>
      </c>
      <c r="E13" s="1" t="s">
        <v>52</v>
      </c>
      <c r="J13" t="str">
        <f>CONCATENATE(Table6[[#Headers],[Recyclable]],K2)</f>
        <v>RecyclableMixed Plastic</v>
      </c>
    </row>
    <row r="14" spans="1:16" x14ac:dyDescent="0.25">
      <c r="C14" s="1"/>
      <c r="D14" s="1"/>
      <c r="E14" s="1"/>
      <c r="J14" t="str">
        <f>CONCATENATE(Table6[[#Headers],[Recyclable]],K3)</f>
        <v>RecyclableMixed Metal</v>
      </c>
    </row>
    <row r="15" spans="1:16" x14ac:dyDescent="0.25">
      <c r="J15" t="str">
        <f>CONCATENATE(Table6[[#Headers],[Recyclable]],K4)</f>
        <v>RecyclableMixed Paper</v>
      </c>
    </row>
    <row r="16" spans="1:16" x14ac:dyDescent="0.25">
      <c r="J16" t="str">
        <f>CONCATENATE(Table6[[#Headers],[Recyclable]],K5)</f>
        <v>RecyclableMixed Glass</v>
      </c>
    </row>
    <row r="17" spans="10:10" x14ac:dyDescent="0.25">
      <c r="J17" t="str">
        <f>CONCATENATE(Residual[[#Headers],[Residual]],Residual[Residual])</f>
        <v>ResidualResidual</v>
      </c>
    </row>
    <row r="18" spans="10:10" x14ac:dyDescent="0.25">
      <c r="J18" t="str">
        <f>CONCATENATE(Table12[[#Headers],[Special_Waste]],Table12[Special_Waste])</f>
        <v>Special_WasteSpecial Waste</v>
      </c>
    </row>
  </sheetData>
  <sortState xmlns:xlrd2="http://schemas.microsoft.com/office/spreadsheetml/2017/richdata2" ref="B2:B5">
    <sortCondition ref="B5"/>
  </sortState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B1C8E-3A0F-4E12-ACA7-14325B0E660B}">
  <dimension ref="A1:F42"/>
  <sheetViews>
    <sheetView topLeftCell="A25" workbookViewId="0">
      <selection activeCell="F42" sqref="F42"/>
    </sheetView>
  </sheetViews>
  <sheetFormatPr defaultRowHeight="15" x14ac:dyDescent="0.25"/>
  <cols>
    <col min="1" max="1" width="42.140625" customWidth="1"/>
    <col min="2" max="2" width="14.7109375" bestFit="1" customWidth="1"/>
    <col min="3" max="3" width="10" bestFit="1" customWidth="1"/>
    <col min="5" max="5" width="10.28515625" bestFit="1" customWidth="1"/>
    <col min="6" max="6" width="25" bestFit="1" customWidth="1"/>
  </cols>
  <sheetData>
    <row r="1" spans="1:6" x14ac:dyDescent="0.25">
      <c r="A1" t="s">
        <v>37</v>
      </c>
      <c r="B1" t="s">
        <v>58</v>
      </c>
      <c r="C1" t="s">
        <v>59</v>
      </c>
      <c r="E1" s="32" t="s">
        <v>60</v>
      </c>
      <c r="F1" s="32" t="s">
        <v>61</v>
      </c>
    </row>
    <row r="2" spans="1:6" x14ac:dyDescent="0.25">
      <c r="A2" t="s">
        <v>40</v>
      </c>
      <c r="B2">
        <v>626.87</v>
      </c>
      <c r="C2">
        <f t="shared" ref="C2:C10" si="0">B2/1000</f>
        <v>0.62687000000000004</v>
      </c>
      <c r="E2" s="32"/>
      <c r="F2" s="32" t="s">
        <v>62</v>
      </c>
    </row>
    <row r="3" spans="1:6" x14ac:dyDescent="0.25">
      <c r="A3" t="s">
        <v>55</v>
      </c>
      <c r="B3">
        <v>578.96</v>
      </c>
      <c r="C3">
        <f t="shared" si="0"/>
        <v>0.57896000000000003</v>
      </c>
      <c r="E3" s="32"/>
      <c r="F3" s="32" t="s">
        <v>63</v>
      </c>
    </row>
    <row r="4" spans="1:6" x14ac:dyDescent="0.25">
      <c r="A4" t="s">
        <v>56</v>
      </c>
      <c r="B4">
        <v>587.34</v>
      </c>
      <c r="C4">
        <f t="shared" si="0"/>
        <v>0.58734000000000008</v>
      </c>
      <c r="E4" s="32"/>
      <c r="F4" s="32" t="s">
        <v>64</v>
      </c>
    </row>
    <row r="5" spans="1:6" x14ac:dyDescent="0.25">
      <c r="A5" t="s">
        <v>33</v>
      </c>
      <c r="B5">
        <v>446.24</v>
      </c>
      <c r="C5">
        <f t="shared" si="0"/>
        <v>0.44624000000000003</v>
      </c>
    </row>
    <row r="6" spans="1:6" x14ac:dyDescent="0.25">
      <c r="A6" t="s">
        <v>41</v>
      </c>
      <c r="B6">
        <v>8.9</v>
      </c>
      <c r="C6">
        <f t="shared" si="0"/>
        <v>8.8999999999999999E-3</v>
      </c>
    </row>
    <row r="7" spans="1:6" x14ac:dyDescent="0.25">
      <c r="A7" t="s">
        <v>42</v>
      </c>
      <c r="B7">
        <v>8.9</v>
      </c>
      <c r="C7">
        <f t="shared" si="0"/>
        <v>8.8999999999999999E-3</v>
      </c>
    </row>
    <row r="8" spans="1:6" x14ac:dyDescent="0.25">
      <c r="A8" t="s">
        <v>54</v>
      </c>
      <c r="B8">
        <v>8.9</v>
      </c>
      <c r="C8">
        <f t="shared" si="0"/>
        <v>8.8999999999999999E-3</v>
      </c>
    </row>
    <row r="9" spans="1:6" x14ac:dyDescent="0.25">
      <c r="A9" t="s">
        <v>43</v>
      </c>
      <c r="B9">
        <v>1041.8</v>
      </c>
      <c r="C9">
        <f t="shared" si="0"/>
        <v>1.0418000000000001</v>
      </c>
    </row>
    <row r="10" spans="1:6" x14ac:dyDescent="0.25">
      <c r="A10" t="s">
        <v>36</v>
      </c>
      <c r="B10">
        <v>8.9</v>
      </c>
      <c r="C10">
        <f t="shared" si="0"/>
        <v>8.8999999999999999E-3</v>
      </c>
    </row>
    <row r="11" spans="1:6" x14ac:dyDescent="0.25">
      <c r="A11" t="s">
        <v>66</v>
      </c>
    </row>
    <row r="14" spans="1:6" ht="18" x14ac:dyDescent="0.35">
      <c r="A14" t="s">
        <v>74</v>
      </c>
    </row>
    <row r="15" spans="1:6" x14ac:dyDescent="0.25">
      <c r="A15" t="s">
        <v>75</v>
      </c>
      <c r="B15" t="s">
        <v>76</v>
      </c>
    </row>
    <row r="16" spans="1:6" x14ac:dyDescent="0.25">
      <c r="A16" t="s">
        <v>77</v>
      </c>
      <c r="B16" t="s">
        <v>78</v>
      </c>
    </row>
    <row r="17" spans="1:2" x14ac:dyDescent="0.25">
      <c r="A17" t="s">
        <v>79</v>
      </c>
      <c r="B17" t="s">
        <v>80</v>
      </c>
    </row>
    <row r="18" spans="1:2" x14ac:dyDescent="0.25">
      <c r="A18" t="s">
        <v>81</v>
      </c>
      <c r="B18" t="s">
        <v>82</v>
      </c>
    </row>
    <row r="19" spans="1:2" x14ac:dyDescent="0.25">
      <c r="A19" t="s">
        <v>84</v>
      </c>
      <c r="B19" t="s">
        <v>83</v>
      </c>
    </row>
    <row r="20" spans="1:2" ht="18" x14ac:dyDescent="0.35">
      <c r="A20" t="s">
        <v>92</v>
      </c>
      <c r="B20" t="s">
        <v>85</v>
      </c>
    </row>
    <row r="21" spans="1:2" x14ac:dyDescent="0.25">
      <c r="A21" t="s">
        <v>87</v>
      </c>
      <c r="B21" t="s">
        <v>86</v>
      </c>
    </row>
    <row r="22" spans="1:2" x14ac:dyDescent="0.25">
      <c r="A22" t="s">
        <v>89</v>
      </c>
      <c r="B22" t="s">
        <v>88</v>
      </c>
    </row>
    <row r="23" spans="1:2" x14ac:dyDescent="0.25">
      <c r="A23" t="s">
        <v>90</v>
      </c>
      <c r="B23" t="s">
        <v>91</v>
      </c>
    </row>
    <row r="25" spans="1:2" x14ac:dyDescent="0.25">
      <c r="A25" t="s">
        <v>93</v>
      </c>
    </row>
    <row r="26" spans="1:2" x14ac:dyDescent="0.25">
      <c r="A26" s="38" t="s">
        <v>71</v>
      </c>
    </row>
    <row r="27" spans="1:2" x14ac:dyDescent="0.25">
      <c r="A27" s="38" t="s">
        <v>72</v>
      </c>
    </row>
    <row r="28" spans="1:2" x14ac:dyDescent="0.25">
      <c r="A28" s="38" t="s">
        <v>73</v>
      </c>
    </row>
    <row r="33" spans="1:3" x14ac:dyDescent="0.25">
      <c r="A33" s="40" t="s">
        <v>37</v>
      </c>
      <c r="B33" s="41" t="s">
        <v>98</v>
      </c>
      <c r="C33" s="41" t="s">
        <v>99</v>
      </c>
    </row>
    <row r="34" spans="1:3" x14ac:dyDescent="0.25">
      <c r="A34" t="s">
        <v>101</v>
      </c>
      <c r="B34" s="43">
        <v>578.96</v>
      </c>
      <c r="C34" s="42">
        <f t="shared" ref="C34:C42" si="1">B34/1000</f>
        <v>0.57896000000000003</v>
      </c>
    </row>
    <row r="35" spans="1:3" x14ac:dyDescent="0.25">
      <c r="A35" t="s">
        <v>102</v>
      </c>
      <c r="B35" s="43">
        <v>626.87</v>
      </c>
      <c r="C35" s="42">
        <f t="shared" si="1"/>
        <v>0.62687000000000004</v>
      </c>
    </row>
    <row r="36" spans="1:3" x14ac:dyDescent="0.25">
      <c r="A36" t="s">
        <v>103</v>
      </c>
      <c r="B36" s="43">
        <v>587.34</v>
      </c>
      <c r="C36" s="42">
        <f t="shared" si="1"/>
        <v>0.58734000000000008</v>
      </c>
    </row>
    <row r="37" spans="1:3" x14ac:dyDescent="0.25">
      <c r="A37" t="s">
        <v>94</v>
      </c>
      <c r="B37" s="43">
        <v>8.9</v>
      </c>
      <c r="C37" s="42">
        <f t="shared" si="1"/>
        <v>8.8999999999999999E-3</v>
      </c>
    </row>
    <row r="38" spans="1:3" x14ac:dyDescent="0.25">
      <c r="A38" t="s">
        <v>95</v>
      </c>
      <c r="B38" s="43">
        <v>8.9</v>
      </c>
      <c r="C38" s="42">
        <f t="shared" si="1"/>
        <v>8.8999999999999999E-3</v>
      </c>
    </row>
    <row r="39" spans="1:3" x14ac:dyDescent="0.25">
      <c r="A39" t="s">
        <v>96</v>
      </c>
      <c r="B39" s="43">
        <v>1041.8</v>
      </c>
      <c r="C39" s="42">
        <f t="shared" si="1"/>
        <v>1.0418000000000001</v>
      </c>
    </row>
    <row r="40" spans="1:3" x14ac:dyDescent="0.25">
      <c r="A40" t="s">
        <v>97</v>
      </c>
      <c r="B40" s="43">
        <v>8.9</v>
      </c>
      <c r="C40" s="42">
        <f t="shared" si="1"/>
        <v>8.8999999999999999E-3</v>
      </c>
    </row>
    <row r="41" spans="1:3" x14ac:dyDescent="0.25">
      <c r="A41" t="s">
        <v>104</v>
      </c>
      <c r="B41" s="43">
        <v>446.24</v>
      </c>
      <c r="C41" s="42">
        <f t="shared" si="1"/>
        <v>0.44624000000000003</v>
      </c>
    </row>
    <row r="42" spans="1:3" x14ac:dyDescent="0.25">
      <c r="A42" t="s">
        <v>100</v>
      </c>
      <c r="B42" s="43">
        <v>8.9</v>
      </c>
      <c r="C42" s="42">
        <f t="shared" si="1"/>
        <v>8.8999999999999999E-3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HeadingPairs>
  <TitlesOfParts>
    <vt:vector size="16" baseType="lpstr">
      <vt:lpstr>Notes</vt:lpstr>
      <vt:lpstr>Solid Waste Segregated</vt:lpstr>
      <vt:lpstr>Solid Waste Unsegregated</vt:lpstr>
      <vt:lpstr>DROPDOWN</vt:lpstr>
      <vt:lpstr>Sheet2</vt:lpstr>
      <vt:lpstr>BIODEGRADABLE</vt:lpstr>
      <vt:lpstr>campus</vt:lpstr>
      <vt:lpstr>category</vt:lpstr>
      <vt:lpstr>month</vt:lpstr>
      <vt:lpstr>Municipal_Solid_Waste</vt:lpstr>
      <vt:lpstr>RECYCLABLE</vt:lpstr>
      <vt:lpstr>'Solid Waste Unsegregated'!Special_Waste</vt:lpstr>
      <vt:lpstr>Special_Waste</vt:lpstr>
      <vt:lpstr>type</vt:lpstr>
      <vt:lpstr>WaterCat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</dc:creator>
  <cp:lastModifiedBy>more info</cp:lastModifiedBy>
  <cp:lastPrinted>2023-07-04T08:42:52Z</cp:lastPrinted>
  <dcterms:created xsi:type="dcterms:W3CDTF">2023-05-23T03:38:19Z</dcterms:created>
  <dcterms:modified xsi:type="dcterms:W3CDTF">2024-01-31T07:03:13Z</dcterms:modified>
</cp:coreProperties>
</file>
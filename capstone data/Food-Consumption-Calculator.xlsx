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user\Desktop\ongoing\Emmisions Template\"/>
    </mc:Choice>
  </mc:AlternateContent>
  <xr:revisionPtr revIDLastSave="0" documentId="13_ncr:1_{0257827F-FA33-449B-B509-B822C44F2D9F}" xr6:coauthVersionLast="47" xr6:coauthVersionMax="47" xr10:uidLastSave="{00000000-0000-0000-0000-000000000000}"/>
  <bookViews>
    <workbookView xWindow="-120" yWindow="-120" windowWidth="29040" windowHeight="15720" xr2:uid="{41911ADB-F1E1-475C-961D-D69C8AF79498}"/>
  </bookViews>
  <sheets>
    <sheet name="Notes" sheetId="3" r:id="rId1"/>
    <sheet name="Food Consumption" sheetId="1" r:id="rId2"/>
    <sheet name="DROPDOWN" sheetId="2" state="hidden" r:id="rId3"/>
  </sheets>
  <definedNames>
    <definedName name="campus">DROPDOWN!$A$2:$A$13</definedName>
    <definedName name="FuelType">DROPDOWN!#REF!</definedName>
    <definedName name="month">DROPDOWN!$B$2:$B$13</definedName>
    <definedName name="office">DROPDOWN!$D$2:$D$4</definedName>
    <definedName name="plate">DROPDOWN!#REF!</definedName>
    <definedName name="type">DROPDOWN!$E$2:$E$11</definedName>
    <definedName name="vehicle">DROPDOWN!#REF!</definedName>
    <definedName name="year">DROPDOWN!$C$2:$C$5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1" l="1"/>
  <c r="H46" i="1" s="1"/>
  <c r="H25" i="2"/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G26" i="1"/>
  <c r="H26" i="1" s="1"/>
  <c r="G27" i="1"/>
  <c r="H27" i="1" s="1"/>
  <c r="G28" i="1"/>
  <c r="H28" i="1" s="1"/>
  <c r="G29" i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G42" i="1"/>
  <c r="H42" i="1" s="1"/>
  <c r="G43" i="1"/>
  <c r="H43" i="1" s="1"/>
  <c r="G44" i="1"/>
  <c r="G45" i="1"/>
  <c r="H45" i="1" s="1"/>
  <c r="N2" i="1"/>
  <c r="H12" i="1"/>
  <c r="H25" i="1"/>
  <c r="H29" i="1"/>
  <c r="H41" i="1"/>
  <c r="H44" i="1"/>
  <c r="G1" i="1" l="1"/>
  <c r="H1" i="1" s="1"/>
</calcChain>
</file>

<file path=xl/sharedStrings.xml><?xml version="1.0" encoding="utf-8"?>
<sst xmlns="http://schemas.openxmlformats.org/spreadsheetml/2006/main" count="89" uniqueCount="67">
  <si>
    <t>Campus</t>
  </si>
  <si>
    <t>Month</t>
  </si>
  <si>
    <t>Year</t>
  </si>
  <si>
    <t>Alangilan</t>
  </si>
  <si>
    <t>ARASOF-Nasugbu</t>
  </si>
  <si>
    <t>Balayan</t>
  </si>
  <si>
    <t>JPLPC-Malvar</t>
  </si>
  <si>
    <t>Lemery</t>
  </si>
  <si>
    <t>Lipa</t>
  </si>
  <si>
    <t>Lobo</t>
  </si>
  <si>
    <t>Mabini</t>
  </si>
  <si>
    <t>Pablo Borbon</t>
  </si>
  <si>
    <t>Rosario</t>
  </si>
  <si>
    <t>San Juan</t>
  </si>
  <si>
    <t>Central</t>
  </si>
  <si>
    <t>kg CO2-e</t>
  </si>
  <si>
    <t>Type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</si>
  <si>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</si>
  <si>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</si>
  <si>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</si>
  <si>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</si>
  <si>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</si>
  <si>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</si>
  <si>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</si>
  <si>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</si>
  <si>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</si>
  <si>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</si>
  <si>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</si>
  <si>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</si>
  <si>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Office</t>
  </si>
  <si>
    <t>RGO</t>
  </si>
  <si>
    <t>Procurement</t>
  </si>
  <si>
    <t>Auxillary Services</t>
  </si>
  <si>
    <t>Type of Food Served</t>
  </si>
  <si>
    <t>1 Standard Breakfast</t>
  </si>
  <si>
    <t>1 Gourmet Breakfast</t>
  </si>
  <si>
    <t>1 Cold or Hot Snack</t>
  </si>
  <si>
    <t>1 Average Meal</t>
  </si>
  <si>
    <t>1 Hot Snack (burger and fries)</t>
  </si>
  <si>
    <t>1 Sandwich</t>
  </si>
  <si>
    <t>Meal, Vegan</t>
  </si>
  <si>
    <t>Meal, Vegetarian</t>
  </si>
  <si>
    <t>Meal with Beef</t>
  </si>
  <si>
    <t>Meal with Chicken</t>
  </si>
  <si>
    <t>t CO2 -e</t>
  </si>
  <si>
    <t>factor</t>
  </si>
  <si>
    <t>unit</t>
  </si>
  <si>
    <t>meal</t>
  </si>
  <si>
    <t>liter</t>
  </si>
  <si>
    <t>Conversion calculator</t>
  </si>
  <si>
    <t>ml</t>
  </si>
  <si>
    <t>Liter</t>
  </si>
  <si>
    <t>Non-Alcoholic Beverage (in Liter)</t>
  </si>
  <si>
    <t>Alcoholic Beverage (in Liter)</t>
  </si>
  <si>
    <t>No. of Servings / or Volume of beverage</t>
  </si>
  <si>
    <t>Todate</t>
  </si>
  <si>
    <t xml:space="preserve">Notes: </t>
  </si>
  <si>
    <t xml:space="preserve">3. Your input shall be in Sheet 2 only. </t>
  </si>
  <si>
    <t>Sheet 2:</t>
  </si>
  <si>
    <t xml:space="preserve">4. The GHG emission will be automatically computed once the sheet has input. </t>
  </si>
  <si>
    <t xml:space="preserve">Please do not make any adjustment in the worksheets such as adding/deleting rows or columns. Thank you. </t>
  </si>
  <si>
    <t>A</t>
  </si>
  <si>
    <t>1. The Food Consumption GHG Calculator aims to measure the GHG emissions based on the monthly food consumption of university stakeholders. The factor used in computing the CO2-equivalent is _____.</t>
  </si>
  <si>
    <t>2. There are 2 sheets in this workbook. 1-Notes 2- Food Consumption</t>
  </si>
  <si>
    <t xml:space="preserve">1. The Procurement, Resource Generation and Auxillary Services shall use this calculator. All food consumption shall be consolidated here whether it is procured or sold in the university canteen. </t>
  </si>
  <si>
    <t xml:space="preserve">2. Type of food served is based on the IPCC categorization. Each serving use a different emission factor, hence it's important to categorize it. </t>
  </si>
  <si>
    <t xml:space="preserve">3. For beverage, kindly input the volume of all beverage sold in liter.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</si>
</sst>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000_);_(* \(#,##0.000000\);_(* &quot;-&quot;??_);_(@_)"/>
    <numFmt numFmtId="165" formatCode="#,##0.00\ &quot;kg CO2-e&quot;"/>
    <numFmt numFmtId="166" formatCode="#,##0.0000\ &quot;t CO2-e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99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18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164" fontId="0" fillId="2" borderId="1" xfId="1" applyNumberFormat="1" applyFont="1" applyFill="1" applyBorder="1" applyAlignment="1" applyProtection="1">
      <alignment wrapText="1"/>
      <protection locked="0"/>
    </xf>
    <xf numFmtId="165" fontId="5" fillId="3" borderId="6" xfId="1" applyNumberFormat="1" applyFont="1" applyFill="1" applyBorder="1" applyAlignment="1">
      <alignment vertical="center"/>
    </xf>
    <xf numFmtId="166" fontId="0" fillId="4" borderId="6" xfId="1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0" fillId="5" borderId="0" xfId="0" applyFill="1"/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4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14" fontId="0" fillId="0" borderId="1" xfId="0" applyNumberFormat="1" applyBorder="1" applyProtection="1">
      <protection locked="0"/>
    </xf>
    <xf numFmtId="43" fontId="0" fillId="0" borderId="1" xfId="1" applyFont="1" applyFill="1" applyBorder="1" applyProtection="1">
      <protection locked="0"/>
    </xf>
    <xf numFmtId="0" fontId="0" fillId="0" borderId="5" xfId="0" applyBorder="1" applyProtection="1">
      <protection locked="0"/>
    </xf>
    <xf numFmtId="14" fontId="0" fillId="0" borderId="14" xfId="0" applyNumberFormat="1" applyBorder="1" applyAlignment="1" applyProtection="1">
      <alignment horizontal="center"/>
      <protection locked="0"/>
    </xf>
    <xf numFmtId="14" fontId="0" fillId="0" borderId="14" xfId="0" applyNumberFormat="1" applyBorder="1" applyProtection="1">
      <protection locked="0"/>
    </xf>
    <xf numFmtId="43" fontId="0" fillId="0" borderId="14" xfId="1" applyFont="1" applyFill="1" applyBorder="1" applyProtection="1">
      <protection locked="0"/>
    </xf>
    <xf numFmtId="164" fontId="3" fillId="2" borderId="15" xfId="1" applyNumberFormat="1" applyFont="1" applyFill="1" applyBorder="1" applyAlignment="1">
      <alignment horizontal="center"/>
    </xf>
    <xf numFmtId="164" fontId="0" fillId="2" borderId="13" xfId="0" applyNumberFormat="1" applyFill="1" applyBorder="1"/>
    <xf numFmtId="0" fontId="7" fillId="6" borderId="2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right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7" borderId="0" xfId="0" applyFill="1"/>
    <xf numFmtId="0" fontId="2" fillId="7" borderId="0" xfId="0" applyFont="1" applyFill="1"/>
    <xf numFmtId="0" fontId="0" fillId="7" borderId="0" xfId="0" applyFill="1" applyAlignment="1">
      <alignment horizontal="left"/>
    </xf>
    <xf numFmtId="0" fontId="9" fillId="7" borderId="0" xfId="0" applyFont="1" applyFill="1"/>
    <xf numFmtId="0" fontId="10" fillId="7" borderId="0" xfId="2" applyFill="1" applyBorder="1"/>
  </cellXfs>
  <cellStyles count="3">
    <cellStyle name="Comma" xfId="1" builtinId="3"/>
    <cellStyle name="Hyperlink" xfId="2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(* #,##0.000000_);_(* \(#,##0.000000\);_(* &quot;-&quot;??_);_(@_)"/>
      <fill>
        <patternFill patternType="solid">
          <fgColor indexed="64"/>
          <bgColor theme="0" tint="-0.14999847407452621"/>
        </patternFill>
      </fill>
      <border outline="0">
        <left style="thin">
          <color theme="0" tint="-0.34998626667073579"/>
        </left>
      </border>
    </dxf>
    <dxf>
      <numFmt numFmtId="164" formatCode="_(* #,##0.000000_);_(* \(#,##0.000000\);_(* &quot;-&quot;??_);_(@_)"/>
      <fill>
        <patternFill patternType="solid">
          <fgColor indexed="64"/>
          <bgColor theme="0" tint="-0.14999847407452621"/>
        </patternFill>
      </fill>
      <border outline="0">
        <left style="thin">
          <color theme="0" tint="-0.34998626667073579"/>
        </left>
        <right style="thin">
          <color theme="0" tint="-0.34998626667073579"/>
        </right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numFmt numFmtId="19" formatCode="m/d/yyyy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99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A193B-30FD-48F7-8E87-DF81EB03AA05}" name="Table13" displayName="Table13" ref="A2:H46" totalsRowShown="0" headerRowDxfId="14" dataDxfId="12" headerRowBorderDxfId="13" tableBorderDxfId="11" totalsRowBorderDxfId="10">
  <tableColumns count="8">
    <tableColumn id="1" xr3:uid="{8AEE678E-ECCA-43E8-8507-5AFD2E357ED1}" name="Campus" dataDxfId="9"/>
    <tableColumn id="3" xr3:uid="{C92906D7-303E-4C55-A5A8-61F3AAE37832}" name="Year" dataDxfId="8"/>
    <tableColumn id="2" xr3:uid="{B26B410F-4C21-4526-923F-9183F2ADBCC3}" name="Month" dataDxfId="7"/>
    <tableColumn id="4" xr3:uid="{F638AD19-0A76-45D6-9497-B68012797B23}" name="Office" dataDxfId="6"/>
    <tableColumn id="5" xr3:uid="{9D21F45B-7352-47BF-A5D0-621CB7ED019D}" name="Type of Food Served" dataDxfId="5"/>
    <tableColumn id="11" xr3:uid="{CB145EE5-814A-4CE2-83D4-BA499355A9B2}" name="No. of Servings / or Volume of beverage" dataDxfId="4" dataCellStyle="Comma"/>
    <tableColumn id="20" xr3:uid="{BA551726-CC40-436C-B65F-476DD5486228}" name="kg CO2-e" dataDxfId="3" dataCellStyle="Comma">
      <calculatedColumnFormula>IF(OR(A3="",B3="",C3="",D3="",E3="",F3=""),"",IF(F3="","",F3*VLOOKUP(E3,DROPDOWN!$E$2:$F$13,2,FALSE)))</calculatedColumnFormula>
    </tableColumn>
    <tableColumn id="21" xr3:uid="{5AEDB35E-7C74-473A-A301-AA4E8F56700F}" name="t CO2 -e" dataDxfId="2">
      <calculatedColumnFormula>IF(G3="","",G3/1000)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DF8C81-8C40-4533-884D-0DEFBD8C0FBE}" name="Table2" displayName="Table2" ref="E1:G13" totalsRowShown="0" headerRowDxfId="1">
  <autoFilter ref="E1:G13" xr:uid="{22DF8C81-8C40-4533-884D-0DEFBD8C0FBE}"/>
  <tableColumns count="3">
    <tableColumn id="1" xr3:uid="{B2BF7E6A-7379-43AB-8AD2-5F0827DFB500}" name="Type"/>
    <tableColumn id="2" xr3:uid="{1DED6570-85D4-459A-807D-300AA0243520}" name="factor" dataDxfId="0" dataCellStyle="Comma"/>
    <tableColumn id="3" xr3:uid="{C7FEDB78-FFD4-44A0-9BA5-A73475A216F2}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6890-6776-4255-B4B7-CAA95AB3C671}">
  <dimension ref="C8:Q23"/>
  <sheetViews>
    <sheetView tabSelected="1" workbookViewId="0">
      <selection activeCell="E27" sqref="E27"/>
    </sheetView>
  </sheetViews>
  <sheetFormatPr defaultRowHeight="15" x14ac:dyDescent="0.25"/>
  <cols>
    <col min="1" max="16384" width="9.140625" style="35"/>
  </cols>
  <sheetData>
    <row r="8" spans="3:7" x14ac:dyDescent="0.25">
      <c r="C8" s="36" t="s">
        <v>56</v>
      </c>
    </row>
    <row r="10" spans="3:7" x14ac:dyDescent="0.25">
      <c r="C10" s="35" t="s">
        <v>62</v>
      </c>
    </row>
    <row r="11" spans="3:7" x14ac:dyDescent="0.25">
      <c r="C11" s="35" t="s">
        <v>63</v>
      </c>
    </row>
    <row r="12" spans="3:7" x14ac:dyDescent="0.25">
      <c r="C12" s="35" t="s">
        <v>57</v>
      </c>
    </row>
    <row r="13" spans="3:7" x14ac:dyDescent="0.25">
      <c r="C13" s="37"/>
    </row>
    <row r="14" spans="3:7" x14ac:dyDescent="0.25">
      <c r="C14" s="38" t="s">
        <v>58</v>
      </c>
    </row>
    <row r="15" spans="3:7" x14ac:dyDescent="0.25">
      <c r="C15" s="35" t="s">
        <v>64</v>
      </c>
    </row>
    <row r="16" spans="3:7" x14ac:dyDescent="0.25">
      <c r="C16" s="37" t="s">
        <v>65</v>
      </c>
      <c r="G16" s="39"/>
    </row>
    <row r="17" spans="3:17" x14ac:dyDescent="0.25">
      <c r="C17" s="37" t="s">
        <v>66</v>
      </c>
    </row>
    <row r="18" spans="3:17" x14ac:dyDescent="0.25">
      <c r="C18" s="37" t="s">
        <v>59</v>
      </c>
    </row>
    <row r="19" spans="3:17" x14ac:dyDescent="0.25">
      <c r="C19" s="37"/>
    </row>
    <row r="20" spans="3:17" x14ac:dyDescent="0.25">
      <c r="C20" s="37" t="s">
        <v>60</v>
      </c>
    </row>
    <row r="21" spans="3:17" x14ac:dyDescent="0.25">
      <c r="C21" s="37"/>
    </row>
    <row r="22" spans="3:17" x14ac:dyDescent="0.25">
      <c r="C22" s="37"/>
      <c r="Q22" s="35" t="s">
        <v>61</v>
      </c>
    </row>
    <row r="23" spans="3:17" x14ac:dyDescent="0.25">
      <c r="C23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DA01-DAF7-4694-A653-B6F0DDEDFDE5}">
  <sheetPr>
    <tabColor rgb="FFFF0000"/>
    <pageSetUpPr fitToPage="1"/>
  </sheetPr>
  <dimension ref="A1:N46"/>
  <sheetViews>
    <sheetView showGridLines="0" zoomScale="115" zoomScaleNormal="115" workbookViewId="0">
      <pane ySplit="2" topLeftCell="A3" activePane="bottomLeft" state="frozen"/>
      <selection pane="bottomLeft" activeCell="E3" sqref="E3"/>
    </sheetView>
  </sheetViews>
  <sheetFormatPr defaultRowHeight="15" x14ac:dyDescent="0.25"/>
  <cols>
    <col min="1" max="1" width="17.5703125" style="17" customWidth="1"/>
    <col min="2" max="2" width="10.7109375" style="18" bestFit="1" customWidth="1"/>
    <col min="3" max="3" width="10.42578125" style="17" bestFit="1" customWidth="1"/>
    <col min="4" max="4" width="16.7109375" style="17" bestFit="1" customWidth="1"/>
    <col min="5" max="5" width="27.42578125" style="17" bestFit="1" customWidth="1"/>
    <col min="6" max="6" width="20.42578125" style="17" customWidth="1"/>
    <col min="7" max="7" width="15.85546875" style="19" customWidth="1"/>
    <col min="8" max="8" width="15.85546875" style="17" customWidth="1"/>
    <col min="9" max="9" width="8.140625" style="17" customWidth="1"/>
    <col min="10" max="11" width="9.140625" style="17"/>
    <col min="12" max="12" width="23.85546875" style="17" customWidth="1"/>
    <col min="13" max="13" width="10.42578125" style="17" customWidth="1"/>
    <col min="14" max="14" width="11.28515625" style="17" customWidth="1"/>
    <col min="15" max="16384" width="9.140625" style="17"/>
  </cols>
  <sheetData>
    <row r="1" spans="1:14" s="14" customFormat="1" ht="27.75" customHeight="1" x14ac:dyDescent="0.25">
      <c r="B1" s="15"/>
      <c r="F1" s="32" t="s">
        <v>55</v>
      </c>
      <c r="G1" s="5">
        <f>SUM(Table13[kg CO2-e])</f>
        <v>4.79</v>
      </c>
      <c r="H1" s="6">
        <f>G1/1000</f>
        <v>4.79E-3</v>
      </c>
      <c r="L1" s="33" t="s">
        <v>49</v>
      </c>
      <c r="M1" s="10" t="s">
        <v>50</v>
      </c>
      <c r="N1" s="11" t="s">
        <v>51</v>
      </c>
    </row>
    <row r="2" spans="1:14" s="16" customFormat="1" ht="30.75" thickBot="1" x14ac:dyDescent="0.3">
      <c r="A2" s="30" t="s">
        <v>0</v>
      </c>
      <c r="B2" s="31" t="s">
        <v>2</v>
      </c>
      <c r="C2" s="31" t="s">
        <v>1</v>
      </c>
      <c r="D2" s="31" t="s">
        <v>29</v>
      </c>
      <c r="E2" s="31" t="s">
        <v>33</v>
      </c>
      <c r="F2" s="31" t="s">
        <v>54</v>
      </c>
      <c r="G2" s="31" t="s">
        <v>15</v>
      </c>
      <c r="H2" s="31" t="s">
        <v>44</v>
      </c>
      <c r="L2" s="34"/>
      <c r="M2" s="13">
        <v>330</v>
      </c>
      <c r="N2" s="12">
        <f>M2/1000</f>
        <v>0.33</v>
      </c>
    </row>
    <row r="3" spans="1:14" x14ac:dyDescent="0.25">
      <c r="A3" s="20" t="s">
        <v>4</v>
      </c>
      <c r="B3" s="21">
        <v>2024</v>
      </c>
      <c r="C3" s="22" t="s">
        <v>27</v>
      </c>
      <c r="D3" s="22" t="s">
        <v>30</v>
      </c>
      <c r="E3" s="22" t="s">
        <v>38</v>
      </c>
      <c r="F3" s="23">
        <v>1</v>
      </c>
      <c r="G3" s="4">
        <f>IF(OR(A3="",B3="",C3="",D3="",E3="",F3=""),"",IF(F3="","",F3*VLOOKUP(E3,DROPDOWN!$E$2:$F$13,2,FALSE)))</f>
        <v>2.77</v>
      </c>
      <c r="H3" s="4">
        <f t="shared" ref="H3:H45" si="0">IF(G3="","",G3/1000)</f>
        <v>2.7699999999999999E-3</v>
      </c>
    </row>
    <row r="4" spans="1:14" x14ac:dyDescent="0.25">
      <c r="A4" s="20" t="s">
        <v>9</v>
      </c>
      <c r="B4" s="21">
        <v>2024</v>
      </c>
      <c r="C4" s="22" t="s">
        <v>19</v>
      </c>
      <c r="D4" s="22" t="s">
        <v>32</v>
      </c>
      <c r="E4" s="22" t="s">
        <v>36</v>
      </c>
      <c r="F4" s="23">
        <v>1</v>
      </c>
      <c r="G4" s="4">
        <f>IF(OR(A4="",B4="",C4="",D4="",E4="",F4=""),"",IF(F4="","",F4*VLOOKUP(E4,DROPDOWN!$E$2:$F$13,2,FALSE)))</f>
        <v>2.02</v>
      </c>
      <c r="H4" s="4">
        <f t="shared" si="0"/>
        <v>2.0200000000000001E-3</v>
      </c>
    </row>
    <row r="5" spans="1:14" x14ac:dyDescent="0.25">
      <c r="A5" s="20"/>
      <c r="B5" s="21"/>
      <c r="C5" s="22"/>
      <c r="D5" s="22"/>
      <c r="E5" s="22"/>
      <c r="F5" s="23"/>
      <c r="G5" s="4" t="str">
        <f>IF(OR(A5="",B5="",C5="",D5="",E5="",F5=""),"",IF(F5="","",F5*VLOOKUP(E5,DROPDOWN!$E$2:$F$13,2,FALSE)))</f>
        <v/>
      </c>
      <c r="H5" s="4" t="str">
        <f t="shared" si="0"/>
        <v/>
      </c>
    </row>
    <row r="6" spans="1:14" x14ac:dyDescent="0.25">
      <c r="A6" s="20"/>
      <c r="B6" s="21"/>
      <c r="C6" s="22"/>
      <c r="D6" s="22"/>
      <c r="E6" s="22"/>
      <c r="F6" s="23"/>
      <c r="G6" s="4" t="str">
        <f>IF(OR(A6="",B6="",C6="",D6="",E6="",F6=""),"",IF(F6="","",F6*VLOOKUP(E6,DROPDOWN!$E$2:$F$13,2,FALSE)))</f>
        <v/>
      </c>
      <c r="H6" s="4" t="str">
        <f t="shared" si="0"/>
        <v/>
      </c>
    </row>
    <row r="7" spans="1:14" x14ac:dyDescent="0.25">
      <c r="A7" s="20"/>
      <c r="B7" s="21"/>
      <c r="C7" s="22"/>
      <c r="D7" s="22"/>
      <c r="E7" s="22"/>
      <c r="F7" s="23"/>
      <c r="G7" s="4" t="str">
        <f>IF(OR(A7="",B7="",C7="",D7="",E7="",F7=""),"",IF(F7="","",F7*VLOOKUP(E7,DROPDOWN!$E$2:$F$13,2,FALSE)))</f>
        <v/>
      </c>
      <c r="H7" s="4" t="str">
        <f t="shared" si="0"/>
        <v/>
      </c>
    </row>
    <row r="8" spans="1:14" x14ac:dyDescent="0.25">
      <c r="A8" s="20"/>
      <c r="B8" s="21"/>
      <c r="C8" s="22"/>
      <c r="D8" s="22"/>
      <c r="E8" s="22"/>
      <c r="F8" s="23"/>
      <c r="G8" s="4" t="str">
        <f>IF(OR(A8="",B8="",C8="",D8="",E8="",F8=""),"",IF(F8="","",F8*VLOOKUP(E8,DROPDOWN!$E$2:$F$13,2,FALSE)))</f>
        <v/>
      </c>
      <c r="H8" s="4" t="str">
        <f t="shared" si="0"/>
        <v/>
      </c>
    </row>
    <row r="9" spans="1:14" x14ac:dyDescent="0.25">
      <c r="A9" s="20"/>
      <c r="B9" s="21"/>
      <c r="C9" s="22"/>
      <c r="D9" s="22"/>
      <c r="E9" s="22"/>
      <c r="F9" s="23"/>
      <c r="G9" s="4" t="str">
        <f>IF(OR(A9="",B9="",C9="",D9="",E9="",F9=""),"",IF(F9="","",F9*VLOOKUP(E9,DROPDOWN!$E$2:$F$13,2,FALSE)))</f>
        <v/>
      </c>
      <c r="H9" s="4" t="str">
        <f t="shared" si="0"/>
        <v/>
      </c>
    </row>
    <row r="10" spans="1:14" x14ac:dyDescent="0.25">
      <c r="A10" s="20"/>
      <c r="B10" s="21"/>
      <c r="C10" s="22"/>
      <c r="D10" s="22"/>
      <c r="E10" s="22"/>
      <c r="F10" s="23"/>
      <c r="G10" s="4" t="str">
        <f>IF(OR(A10="",B10="",C10="",D10="",E10="",F10=""),"",IF(F10="","",F10*VLOOKUP(E10,DROPDOWN!$E$2:$F$13,2,FALSE)))</f>
        <v/>
      </c>
      <c r="H10" s="4" t="str">
        <f t="shared" si="0"/>
        <v/>
      </c>
    </row>
    <row r="11" spans="1:14" x14ac:dyDescent="0.25">
      <c r="A11" s="20"/>
      <c r="B11" s="21"/>
      <c r="C11" s="22"/>
      <c r="D11" s="22"/>
      <c r="E11" s="22"/>
      <c r="F11" s="23"/>
      <c r="G11" s="4" t="str">
        <f>IF(OR(A11="",B11="",C11="",D11="",E11="",F11=""),"",IF(F11="","",F11*VLOOKUP(E11,DROPDOWN!$E$2:$F$13,2,FALSE)))</f>
        <v/>
      </c>
      <c r="H11" s="4" t="str">
        <f t="shared" si="0"/>
        <v/>
      </c>
    </row>
    <row r="12" spans="1:14" x14ac:dyDescent="0.25">
      <c r="A12" s="20"/>
      <c r="B12" s="21"/>
      <c r="C12" s="22"/>
      <c r="D12" s="22"/>
      <c r="E12" s="22"/>
      <c r="F12" s="23"/>
      <c r="G12" s="4" t="str">
        <f>IF(OR(A12="",B12="",C12="",D12="",E12="",F12=""),"",IF(F12="","",F12*VLOOKUP(E12,DROPDOWN!$E$2:$F$13,2,FALSE)))</f>
        <v/>
      </c>
      <c r="H12" s="4" t="str">
        <f t="shared" si="0"/>
        <v/>
      </c>
    </row>
    <row r="13" spans="1:14" x14ac:dyDescent="0.25">
      <c r="A13" s="20"/>
      <c r="B13" s="21"/>
      <c r="C13" s="22"/>
      <c r="D13" s="22"/>
      <c r="E13" s="22"/>
      <c r="F13" s="23"/>
      <c r="G13" s="4" t="str">
        <f>IF(OR(A13="",B13="",C13="",D13="",E13="",F13=""),"",IF(F13="","",F13*VLOOKUP(E13,DROPDOWN!$E$2:$F$13,2,FALSE)))</f>
        <v/>
      </c>
      <c r="H13" s="4" t="str">
        <f t="shared" si="0"/>
        <v/>
      </c>
    </row>
    <row r="14" spans="1:14" x14ac:dyDescent="0.25">
      <c r="A14" s="20"/>
      <c r="B14" s="21"/>
      <c r="C14" s="22"/>
      <c r="D14" s="22"/>
      <c r="E14" s="22"/>
      <c r="F14" s="23"/>
      <c r="G14" s="4" t="str">
        <f>IF(OR(A14="",B14="",C14="",D14="",E14="",F14=""),"",IF(F14="","",F14*VLOOKUP(E14,DROPDOWN!$E$2:$F$13,2,FALSE)))</f>
        <v/>
      </c>
      <c r="H14" s="4" t="str">
        <f t="shared" si="0"/>
        <v/>
      </c>
    </row>
    <row r="15" spans="1:14" x14ac:dyDescent="0.25">
      <c r="A15" s="20"/>
      <c r="B15" s="21"/>
      <c r="C15" s="22"/>
      <c r="D15" s="22"/>
      <c r="E15" s="22"/>
      <c r="F15" s="23"/>
      <c r="G15" s="4" t="str">
        <f>IF(OR(A15="",B15="",C15="",D15="",E15="",F15=""),"",IF(F15="","",F15*VLOOKUP(E15,DROPDOWN!$E$2:$F$13,2,FALSE)))</f>
        <v/>
      </c>
      <c r="H15" s="4" t="str">
        <f t="shared" si="0"/>
        <v/>
      </c>
    </row>
    <row r="16" spans="1:14" x14ac:dyDescent="0.25">
      <c r="A16" s="20"/>
      <c r="B16" s="21"/>
      <c r="C16" s="22"/>
      <c r="D16" s="22"/>
      <c r="E16" s="22"/>
      <c r="F16" s="23"/>
      <c r="G16" s="4" t="str">
        <f>IF(OR(A16="",B16="",C16="",D16="",E16="",F16=""),"",IF(F16="","",F16*VLOOKUP(E16,DROPDOWN!$E$2:$F$13,2,FALSE)))</f>
        <v/>
      </c>
      <c r="H16" s="4" t="str">
        <f t="shared" si="0"/>
        <v/>
      </c>
    </row>
    <row r="17" spans="1:8" x14ac:dyDescent="0.25">
      <c r="A17" s="20"/>
      <c r="B17" s="21"/>
      <c r="C17" s="22"/>
      <c r="D17" s="22"/>
      <c r="E17" s="22"/>
      <c r="F17" s="23"/>
      <c r="G17" s="4" t="str">
        <f>IF(OR(A17="",B17="",C17="",D17="",E17="",F17=""),"",IF(F17="","",F17*VLOOKUP(E17,DROPDOWN!$E$2:$F$13,2,FALSE)))</f>
        <v/>
      </c>
      <c r="H17" s="4" t="str">
        <f t="shared" si="0"/>
        <v/>
      </c>
    </row>
    <row r="18" spans="1:8" x14ac:dyDescent="0.25">
      <c r="A18" s="20"/>
      <c r="B18" s="21"/>
      <c r="C18" s="22"/>
      <c r="D18" s="22"/>
      <c r="E18" s="22"/>
      <c r="F18" s="23"/>
      <c r="G18" s="4" t="str">
        <f>IF(OR(A18="",B18="",C18="",D18="",E18="",F18=""),"",IF(F18="","",F18*VLOOKUP(E18,DROPDOWN!$E$2:$F$13,2,FALSE)))</f>
        <v/>
      </c>
      <c r="H18" s="4" t="str">
        <f t="shared" si="0"/>
        <v/>
      </c>
    </row>
    <row r="19" spans="1:8" x14ac:dyDescent="0.25">
      <c r="A19" s="20"/>
      <c r="B19" s="21"/>
      <c r="C19" s="22"/>
      <c r="D19" s="22"/>
      <c r="E19" s="22"/>
      <c r="F19" s="23"/>
      <c r="G19" s="4" t="str">
        <f>IF(OR(A19="",B19="",C19="",D19="",E19="",F19=""),"",IF(F19="","",F19*VLOOKUP(E19,DROPDOWN!$E$2:$F$13,2,FALSE)))</f>
        <v/>
      </c>
      <c r="H19" s="4" t="str">
        <f t="shared" si="0"/>
        <v/>
      </c>
    </row>
    <row r="20" spans="1:8" x14ac:dyDescent="0.25">
      <c r="A20" s="20"/>
      <c r="B20" s="21"/>
      <c r="C20" s="22"/>
      <c r="D20" s="22"/>
      <c r="E20" s="22"/>
      <c r="F20" s="23"/>
      <c r="G20" s="4" t="str">
        <f>IF(OR(A20="",B20="",C20="",D20="",E20="",F20=""),"",IF(F20="","",F20*VLOOKUP(E20,DROPDOWN!$E$2:$F$13,2,FALSE)))</f>
        <v/>
      </c>
      <c r="H20" s="4" t="str">
        <f t="shared" si="0"/>
        <v/>
      </c>
    </row>
    <row r="21" spans="1:8" x14ac:dyDescent="0.25">
      <c r="A21" s="20"/>
      <c r="B21" s="21"/>
      <c r="C21" s="22"/>
      <c r="D21" s="22"/>
      <c r="E21" s="22"/>
      <c r="F21" s="23"/>
      <c r="G21" s="4" t="str">
        <f>IF(OR(A21="",B21="",C21="",D21="",E21="",F21=""),"",IF(F21="","",F21*VLOOKUP(E21,DROPDOWN!$E$2:$F$13,2,FALSE)))</f>
        <v/>
      </c>
      <c r="H21" s="4" t="str">
        <f t="shared" si="0"/>
        <v/>
      </c>
    </row>
    <row r="22" spans="1:8" x14ac:dyDescent="0.25">
      <c r="A22" s="20"/>
      <c r="B22" s="21"/>
      <c r="C22" s="22"/>
      <c r="D22" s="22"/>
      <c r="E22" s="22"/>
      <c r="F22" s="23"/>
      <c r="G22" s="4" t="str">
        <f>IF(OR(A22="",B22="",C22="",D22="",E22="",F22=""),"",IF(F22="","",F22*VLOOKUP(E22,DROPDOWN!$E$2:$F$13,2,FALSE)))</f>
        <v/>
      </c>
      <c r="H22" s="4" t="str">
        <f t="shared" si="0"/>
        <v/>
      </c>
    </row>
    <row r="23" spans="1:8" x14ac:dyDescent="0.25">
      <c r="A23" s="20"/>
      <c r="B23" s="21"/>
      <c r="C23" s="22"/>
      <c r="D23" s="22"/>
      <c r="E23" s="22"/>
      <c r="F23" s="23"/>
      <c r="G23" s="4" t="str">
        <f>IF(OR(A23="",B23="",C23="",D23="",E23="",F23=""),"",IF(F23="","",F23*VLOOKUP(E23,DROPDOWN!$E$2:$F$13,2,FALSE)))</f>
        <v/>
      </c>
      <c r="H23" s="4" t="str">
        <f t="shared" si="0"/>
        <v/>
      </c>
    </row>
    <row r="24" spans="1:8" x14ac:dyDescent="0.25">
      <c r="A24" s="20"/>
      <c r="B24" s="21"/>
      <c r="C24" s="22"/>
      <c r="D24" s="22"/>
      <c r="E24" s="22"/>
      <c r="F24" s="23"/>
      <c r="G24" s="4" t="str">
        <f>IF(OR(A24="",B24="",C24="",D24="",E24="",F24=""),"",IF(F24="","",F24*VLOOKUP(E24,DROPDOWN!$E$2:$F$13,2,FALSE)))</f>
        <v/>
      </c>
      <c r="H24" s="4" t="str">
        <f t="shared" si="0"/>
        <v/>
      </c>
    </row>
    <row r="25" spans="1:8" x14ac:dyDescent="0.25">
      <c r="A25" s="20"/>
      <c r="B25" s="21"/>
      <c r="C25" s="22"/>
      <c r="D25" s="22"/>
      <c r="E25" s="22"/>
      <c r="F25" s="23"/>
      <c r="G25" s="4" t="str">
        <f>IF(OR(A25="",B25="",C25="",D25="",E25="",F25=""),"",IF(F25="","",F25*VLOOKUP(E25,DROPDOWN!$E$2:$F$13,2,FALSE)))</f>
        <v/>
      </c>
      <c r="H25" s="4" t="str">
        <f t="shared" si="0"/>
        <v/>
      </c>
    </row>
    <row r="26" spans="1:8" x14ac:dyDescent="0.25">
      <c r="A26" s="20"/>
      <c r="B26" s="21"/>
      <c r="C26" s="22"/>
      <c r="D26" s="22"/>
      <c r="E26" s="22"/>
      <c r="F26" s="23"/>
      <c r="G26" s="4" t="str">
        <f>IF(OR(A26="",B26="",C26="",D26="",E26="",F26=""),"",IF(F26="","",F26*VLOOKUP(E26,DROPDOWN!$E$2:$F$13,2,FALSE)))</f>
        <v/>
      </c>
      <c r="H26" s="4" t="str">
        <f t="shared" si="0"/>
        <v/>
      </c>
    </row>
    <row r="27" spans="1:8" x14ac:dyDescent="0.25">
      <c r="A27" s="20"/>
      <c r="B27" s="21"/>
      <c r="C27" s="22"/>
      <c r="D27" s="22"/>
      <c r="E27" s="22"/>
      <c r="F27" s="23"/>
      <c r="G27" s="4" t="str">
        <f>IF(OR(A27="",B27="",C27="",D27="",E27="",F27=""),"",IF(F27="","",F27*VLOOKUP(E27,DROPDOWN!$E$2:$F$13,2,FALSE)))</f>
        <v/>
      </c>
      <c r="H27" s="4" t="str">
        <f t="shared" si="0"/>
        <v/>
      </c>
    </row>
    <row r="28" spans="1:8" x14ac:dyDescent="0.25">
      <c r="A28" s="20"/>
      <c r="B28" s="21"/>
      <c r="C28" s="22"/>
      <c r="D28" s="22"/>
      <c r="E28" s="22"/>
      <c r="F28" s="23"/>
      <c r="G28" s="4" t="str">
        <f>IF(OR(A28="",B28="",C28="",D28="",E28="",F28=""),"",IF(F28="","",F28*VLOOKUP(E28,DROPDOWN!$E$2:$F$13,2,FALSE)))</f>
        <v/>
      </c>
      <c r="H28" s="4" t="str">
        <f t="shared" si="0"/>
        <v/>
      </c>
    </row>
    <row r="29" spans="1:8" x14ac:dyDescent="0.25">
      <c r="A29" s="20"/>
      <c r="B29" s="21"/>
      <c r="C29" s="22"/>
      <c r="D29" s="22"/>
      <c r="E29" s="22"/>
      <c r="F29" s="23"/>
      <c r="G29" s="4" t="str">
        <f>IF(OR(A29="",B29="",C29="",D29="",E29="",F29=""),"",IF(F29="","",F29*VLOOKUP(E29,DROPDOWN!$E$2:$F$13,2,FALSE)))</f>
        <v/>
      </c>
      <c r="H29" s="4" t="str">
        <f t="shared" si="0"/>
        <v/>
      </c>
    </row>
    <row r="30" spans="1:8" x14ac:dyDescent="0.25">
      <c r="A30" s="20"/>
      <c r="B30" s="21"/>
      <c r="C30" s="22"/>
      <c r="D30" s="22"/>
      <c r="E30" s="22"/>
      <c r="F30" s="23"/>
      <c r="G30" s="4" t="str">
        <f>IF(OR(A30="",B30="",C30="",D30="",E30="",F30=""),"",IF(F30="","",F30*VLOOKUP(E30,DROPDOWN!$E$2:$F$13,2,FALSE)))</f>
        <v/>
      </c>
      <c r="H30" s="4" t="str">
        <f t="shared" si="0"/>
        <v/>
      </c>
    </row>
    <row r="31" spans="1:8" x14ac:dyDescent="0.25">
      <c r="A31" s="20"/>
      <c r="B31" s="21"/>
      <c r="C31" s="22"/>
      <c r="D31" s="22"/>
      <c r="E31" s="22"/>
      <c r="F31" s="23"/>
      <c r="G31" s="4" t="str">
        <f>IF(OR(A31="",B31="",C31="",D31="",E31="",F31=""),"",IF(F31="","",F31*VLOOKUP(E31,DROPDOWN!$E$2:$F$13,2,FALSE)))</f>
        <v/>
      </c>
      <c r="H31" s="4" t="str">
        <f t="shared" si="0"/>
        <v/>
      </c>
    </row>
    <row r="32" spans="1:8" x14ac:dyDescent="0.25">
      <c r="A32" s="20"/>
      <c r="B32" s="21"/>
      <c r="C32" s="22"/>
      <c r="D32" s="22"/>
      <c r="E32" s="22"/>
      <c r="F32" s="23"/>
      <c r="G32" s="4" t="str">
        <f>IF(OR(A32="",B32="",C32="",D32="",E32="",F32=""),"",IF(F32="","",F32*VLOOKUP(E32,DROPDOWN!$E$2:$F$13,2,FALSE)))</f>
        <v/>
      </c>
      <c r="H32" s="4" t="str">
        <f t="shared" si="0"/>
        <v/>
      </c>
    </row>
    <row r="33" spans="1:8" x14ac:dyDescent="0.25">
      <c r="A33" s="20"/>
      <c r="B33" s="21"/>
      <c r="C33" s="22"/>
      <c r="D33" s="22"/>
      <c r="E33" s="22"/>
      <c r="F33" s="23"/>
      <c r="G33" s="4" t="str">
        <f>IF(OR(A33="",B33="",C33="",D33="",E33="",F33=""),"",IF(F33="","",F33*VLOOKUP(E33,DROPDOWN!$E$2:$F$13,2,FALSE)))</f>
        <v/>
      </c>
      <c r="H33" s="4" t="str">
        <f t="shared" si="0"/>
        <v/>
      </c>
    </row>
    <row r="34" spans="1:8" x14ac:dyDescent="0.25">
      <c r="A34" s="20"/>
      <c r="B34" s="21"/>
      <c r="C34" s="22"/>
      <c r="D34" s="22"/>
      <c r="E34" s="22"/>
      <c r="F34" s="23"/>
      <c r="G34" s="4" t="str">
        <f>IF(OR(A34="",B34="",C34="",D34="",E34="",F34=""),"",IF(F34="","",F34*VLOOKUP(E34,DROPDOWN!$E$2:$F$13,2,FALSE)))</f>
        <v/>
      </c>
      <c r="H34" s="4" t="str">
        <f t="shared" si="0"/>
        <v/>
      </c>
    </row>
    <row r="35" spans="1:8" x14ac:dyDescent="0.25">
      <c r="A35" s="20"/>
      <c r="B35" s="21"/>
      <c r="C35" s="22"/>
      <c r="D35" s="22"/>
      <c r="E35" s="22"/>
      <c r="F35" s="23"/>
      <c r="G35" s="4" t="str">
        <f>IF(OR(A35="",B35="",C35="",D35="",E35="",F35=""),"",IF(F35="","",F35*VLOOKUP(E35,DROPDOWN!$E$2:$F$13,2,FALSE)))</f>
        <v/>
      </c>
      <c r="H35" s="4" t="str">
        <f t="shared" si="0"/>
        <v/>
      </c>
    </row>
    <row r="36" spans="1:8" x14ac:dyDescent="0.25">
      <c r="A36" s="20"/>
      <c r="B36" s="21"/>
      <c r="C36" s="22"/>
      <c r="D36" s="22"/>
      <c r="E36" s="22"/>
      <c r="F36" s="23"/>
      <c r="G36" s="4" t="str">
        <f>IF(OR(A36="",B36="",C36="",D36="",E36="",F36=""),"",IF(F36="","",F36*VLOOKUP(E36,DROPDOWN!$E$2:$F$13,2,FALSE)))</f>
        <v/>
      </c>
      <c r="H36" s="4" t="str">
        <f t="shared" si="0"/>
        <v/>
      </c>
    </row>
    <row r="37" spans="1:8" x14ac:dyDescent="0.25">
      <c r="A37" s="20"/>
      <c r="B37" s="21"/>
      <c r="C37" s="22"/>
      <c r="D37" s="22"/>
      <c r="E37" s="22"/>
      <c r="F37" s="23"/>
      <c r="G37" s="4" t="str">
        <f>IF(OR(A37="",B37="",C37="",D37="",E37="",F37=""),"",IF(F37="","",F37*VLOOKUP(E37,DROPDOWN!$E$2:$F$13,2,FALSE)))</f>
        <v/>
      </c>
      <c r="H37" s="4" t="str">
        <f t="shared" si="0"/>
        <v/>
      </c>
    </row>
    <row r="38" spans="1:8" x14ac:dyDescent="0.25">
      <c r="A38" s="20"/>
      <c r="B38" s="21"/>
      <c r="C38" s="22"/>
      <c r="D38" s="22"/>
      <c r="E38" s="22"/>
      <c r="F38" s="23"/>
      <c r="G38" s="4" t="str">
        <f>IF(OR(A38="",B38="",C38="",D38="",E38="",F38=""),"",IF(F38="","",F38*VLOOKUP(E38,DROPDOWN!$E$2:$F$13,2,FALSE)))</f>
        <v/>
      </c>
      <c r="H38" s="4" t="str">
        <f t="shared" si="0"/>
        <v/>
      </c>
    </row>
    <row r="39" spans="1:8" x14ac:dyDescent="0.25">
      <c r="A39" s="20"/>
      <c r="B39" s="21"/>
      <c r="C39" s="22"/>
      <c r="D39" s="22"/>
      <c r="E39" s="22"/>
      <c r="F39" s="23"/>
      <c r="G39" s="4" t="str">
        <f>IF(OR(A39="",B39="",C39="",D39="",E39="",F39=""),"",IF(F39="","",F39*VLOOKUP(E39,DROPDOWN!$E$2:$F$13,2,FALSE)))</f>
        <v/>
      </c>
      <c r="H39" s="4" t="str">
        <f t="shared" si="0"/>
        <v/>
      </c>
    </row>
    <row r="40" spans="1:8" x14ac:dyDescent="0.25">
      <c r="A40" s="20"/>
      <c r="B40" s="21"/>
      <c r="C40" s="22"/>
      <c r="D40" s="22"/>
      <c r="E40" s="22"/>
      <c r="F40" s="23"/>
      <c r="G40" s="4" t="str">
        <f>IF(OR(A40="",B40="",C40="",D40="",E40="",F40=""),"",IF(F40="","",F40*VLOOKUP(E40,DROPDOWN!$E$2:$F$13,2,FALSE)))</f>
        <v/>
      </c>
      <c r="H40" s="4" t="str">
        <f t="shared" si="0"/>
        <v/>
      </c>
    </row>
    <row r="41" spans="1:8" x14ac:dyDescent="0.25">
      <c r="A41" s="20"/>
      <c r="B41" s="21"/>
      <c r="C41" s="22"/>
      <c r="D41" s="22"/>
      <c r="E41" s="22"/>
      <c r="F41" s="23"/>
      <c r="G41" s="4" t="str">
        <f>IF(OR(A41="",B41="",C41="",D41="",E41="",F41=""),"",IF(F41="","",F41*VLOOKUP(E41,DROPDOWN!$E$2:$F$13,2,FALSE)))</f>
        <v/>
      </c>
      <c r="H41" s="4" t="str">
        <f t="shared" si="0"/>
        <v/>
      </c>
    </row>
    <row r="42" spans="1:8" x14ac:dyDescent="0.25">
      <c r="A42" s="20"/>
      <c r="B42" s="21"/>
      <c r="C42" s="22"/>
      <c r="D42" s="22"/>
      <c r="E42" s="22"/>
      <c r="F42" s="23"/>
      <c r="G42" s="4" t="str">
        <f>IF(OR(A42="",B42="",C42="",D42="",E42="",F42=""),"",IF(F42="","",F42*VLOOKUP(E42,DROPDOWN!$E$2:$F$13,2,FALSE)))</f>
        <v/>
      </c>
      <c r="H42" s="4" t="str">
        <f t="shared" si="0"/>
        <v/>
      </c>
    </row>
    <row r="43" spans="1:8" x14ac:dyDescent="0.25">
      <c r="A43" s="20"/>
      <c r="B43" s="21"/>
      <c r="C43" s="22"/>
      <c r="D43" s="22"/>
      <c r="E43" s="22"/>
      <c r="F43" s="23"/>
      <c r="G43" s="4" t="str">
        <f>IF(OR(A43="",B43="",C43="",D43="",E43="",F43=""),"",IF(F43="","",F43*VLOOKUP(E43,DROPDOWN!$E$2:$F$13,2,FALSE)))</f>
        <v/>
      </c>
      <c r="H43" s="4" t="str">
        <f t="shared" si="0"/>
        <v/>
      </c>
    </row>
    <row r="44" spans="1:8" x14ac:dyDescent="0.25">
      <c r="A44" s="20"/>
      <c r="B44" s="21"/>
      <c r="C44" s="22"/>
      <c r="D44" s="22"/>
      <c r="E44" s="22"/>
      <c r="F44" s="23"/>
      <c r="G44" s="4" t="str">
        <f>IF(OR(A44="",B44="",C44="",D44="",E44="",F44=""),"",IF(F44="","",F44*VLOOKUP(E44,DROPDOWN!$E$2:$F$13,2,FALSE)))</f>
        <v/>
      </c>
      <c r="H44" s="4" t="str">
        <f t="shared" si="0"/>
        <v/>
      </c>
    </row>
    <row r="45" spans="1:8" x14ac:dyDescent="0.25">
      <c r="A45" s="24"/>
      <c r="B45" s="21"/>
      <c r="C45" s="22"/>
      <c r="D45" s="22"/>
      <c r="E45" s="22"/>
      <c r="F45" s="23"/>
      <c r="G45" s="4" t="str">
        <f>IF(OR(A45="",B45="",C45="",D45="",E45="",F45=""),"",IF(F45="","",F45*VLOOKUP(E45,DROPDOWN!$E$2:$F$13,2,FALSE)))</f>
        <v/>
      </c>
      <c r="H45" s="4" t="str">
        <f t="shared" si="0"/>
        <v/>
      </c>
    </row>
    <row r="46" spans="1:8" x14ac:dyDescent="0.25">
      <c r="A46" s="24"/>
      <c r="B46" s="25"/>
      <c r="C46" s="26"/>
      <c r="D46" s="26"/>
      <c r="E46" s="26"/>
      <c r="F46" s="27"/>
      <c r="G46" s="28" t="str">
        <f>IF(OR(A46="",B46="",C46="",D46="",E46="",F46=""),"",IF(F46="","",F46*VLOOKUP(E46,DROPDOWN!$E$2:$F$13,2,FALSE)))</f>
        <v/>
      </c>
      <c r="H46" s="29" t="str">
        <f>IF(G46="","",G46/1000)</f>
        <v/>
      </c>
    </row>
  </sheetData>
  <sheetProtection selectLockedCells="1"/>
  <mergeCells count="1">
    <mergeCell ref="L1:L2"/>
  </mergeCells>
  <dataValidations count="10">
    <dataValidation type="list" allowBlank="1" showInputMessage="1" showErrorMessage="1" sqref="A3:A46" xr:uid="{D54003B7-A325-4E81-B2BC-5350DDF83CBD}">
      <formula1>campus</formula1>
    </dataValidation>
    <dataValidation allowBlank="1" showInputMessage="1" showErrorMessage="1" promptTitle="Keyboard Shortcut" sqref="B2:E2" xr:uid="{0AF3F525-9716-49ED-B982-DE85F5D50F38}"/>
    <dataValidation type="list" operator="lessThanOrEqual" allowBlank="1" showInputMessage="1" showErrorMessage="1" errorTitle="Date Field" error="Enter a valid date!" sqref="C3:C46" xr:uid="{DD0F9461-9B0A-4520-A382-0F9B9092F662}">
      <formula1>month</formula1>
    </dataValidation>
    <dataValidation type="list" allowBlank="1" showInputMessage="1" showErrorMessage="1" sqref="B3:B45" xr:uid="{ACD3D544-CB7F-42A6-AB8D-553450F0E921}">
      <formula1>year</formula1>
    </dataValidation>
    <dataValidation type="list" operator="lessThanOrEqual" allowBlank="1" showInputMessage="1" showErrorMessage="1" errorTitle="Date Field" error="Enter a valid date!" sqref="B3:B45" xr:uid="{1109544E-E12A-49AB-9539-9915AB6FF0FB}">
      <formula1>year</formula1>
    </dataValidation>
    <dataValidation type="list" operator="lessThanOrEqual" allowBlank="1" showInputMessage="1" showErrorMessage="1" errorTitle="Date Field" error="Enter a valid date!" sqref="D3:D46" xr:uid="{5EC1DB2C-C3A8-4D6D-8061-B5C9548105AA}">
      <formula1>office</formula1>
    </dataValidation>
    <dataValidation type="list" operator="lessThanOrEqual" allowBlank="1" showInputMessage="1" showErrorMessage="1" errorTitle="Date Field" error="Enter a valid date!" sqref="E3:E46" xr:uid="{14F10190-636F-471D-8688-0F1DF65DE60E}">
      <formula1>type</formula1>
    </dataValidation>
    <dataValidation type="whole" operator="greaterThan" allowBlank="1" showInputMessage="1" showErrorMessage="1" sqref="F4:F45" xr:uid="{6E03D27B-8308-43FB-8308-661F0C0CB222}">
      <formula1>0</formula1>
    </dataValidation>
    <dataValidation allowBlank="1" showInputMessage="1" showErrorMessage="1" prompt="Type in here the total volume in milliliter (ml) to convert into Liter._x000a__x000a_ex. 330ml of water._x000a__x000a_to convert into Liters, _x000a_type= 330 " sqref="M2" xr:uid="{E1C4D60F-E9A6-4A53-B2A5-DA9180CBFB28}"/>
    <dataValidation type="decimal" operator="greaterThan" allowBlank="1" showInputMessage="1" showErrorMessage="1" sqref="F3" xr:uid="{AE7507E3-24D4-489D-8C48-DE5A3944B964}">
      <formula1>0</formula1>
    </dataValidation>
  </dataValidations>
  <pageMargins left="0.7" right="0.7" top="0.89249999999999996" bottom="0.75" header="0.3" footer="0.3"/>
  <pageSetup paperSize="14" scale="64" fitToHeight="0" orientation="landscape" horizontalDpi="0" verticalDpi="0" r:id="rId1"/>
  <headerFooter>
    <oddHeader>&amp;L&amp;G&amp;C&amp;"Arial Nova,Bold"&amp;16
Fuel Consumption Report</oddHeader>
    <oddFooter>&amp;C&amp;9Prepared by Data Analyst &amp;D&amp;R&amp;9&amp;Z&amp;F   &amp;"-,Italic"Page &amp;P of &amp;N</oddFooter>
  </headerFooter>
  <ignoredErrors>
    <ignoredError sqref="H4:H45 H3 G3:G45" unlockedFormula="1"/>
  </ignoredErrors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7619-B915-4EEC-A4B2-2C4191E73B9A}">
  <dimension ref="A1:H25"/>
  <sheetViews>
    <sheetView zoomScale="130" zoomScaleNormal="130" workbookViewId="0">
      <selection activeCell="D19" sqref="D19"/>
    </sheetView>
  </sheetViews>
  <sheetFormatPr defaultRowHeight="15" x14ac:dyDescent="0.25"/>
  <cols>
    <col min="1" max="1" width="16.7109375" bestFit="1" customWidth="1"/>
    <col min="2" max="2" width="10.85546875" bestFit="1" customWidth="1"/>
    <col min="3" max="3" width="7.85546875" style="8" customWidth="1"/>
    <col min="4" max="4" width="22.85546875" bestFit="1" customWidth="1"/>
    <col min="5" max="5" width="31" bestFit="1" customWidth="1"/>
    <col min="8" max="8" width="13.140625" bestFit="1" customWidth="1"/>
    <col min="9" max="9" width="13.28515625" bestFit="1" customWidth="1"/>
    <col min="10" max="10" width="13.42578125" bestFit="1" customWidth="1"/>
    <col min="14" max="14" width="13.140625" bestFit="1" customWidth="1"/>
  </cols>
  <sheetData>
    <row r="1" spans="1:7" x14ac:dyDescent="0.25">
      <c r="A1" s="2" t="s">
        <v>0</v>
      </c>
      <c r="B1" s="2" t="s">
        <v>1</v>
      </c>
      <c r="C1" s="7" t="s">
        <v>2</v>
      </c>
      <c r="D1" s="2" t="s">
        <v>29</v>
      </c>
      <c r="E1" s="2" t="s">
        <v>16</v>
      </c>
      <c r="F1" s="2" t="s">
        <v>45</v>
      </c>
      <c r="G1" s="2" t="s">
        <v>46</v>
      </c>
    </row>
    <row r="2" spans="1:7" x14ac:dyDescent="0.25">
      <c r="A2" s="3" t="s">
        <v>3</v>
      </c>
      <c r="B2" s="1" t="s">
        <v>17</v>
      </c>
      <c r="C2" s="8">
        <v>2021</v>
      </c>
      <c r="D2" t="s">
        <v>32</v>
      </c>
      <c r="E2" t="s">
        <v>34</v>
      </c>
      <c r="F2" s="9">
        <v>0.84</v>
      </c>
      <c r="G2" t="s">
        <v>47</v>
      </c>
    </row>
    <row r="3" spans="1:7" x14ac:dyDescent="0.25">
      <c r="A3" s="3" t="s">
        <v>4</v>
      </c>
      <c r="B3" s="1" t="s">
        <v>18</v>
      </c>
      <c r="C3" s="8">
        <v>2022</v>
      </c>
      <c r="D3" t="s">
        <v>31</v>
      </c>
      <c r="E3" t="s">
        <v>35</v>
      </c>
      <c r="F3" s="9">
        <v>2.33</v>
      </c>
      <c r="G3" t="s">
        <v>47</v>
      </c>
    </row>
    <row r="4" spans="1:7" x14ac:dyDescent="0.25">
      <c r="A4" s="3" t="s">
        <v>5</v>
      </c>
      <c r="B4" s="1" t="s">
        <v>19</v>
      </c>
      <c r="C4" s="8">
        <v>2023</v>
      </c>
      <c r="D4" t="s">
        <v>30</v>
      </c>
      <c r="E4" t="s">
        <v>36</v>
      </c>
      <c r="F4" s="9">
        <v>2.02</v>
      </c>
      <c r="G4" t="s">
        <v>47</v>
      </c>
    </row>
    <row r="5" spans="1:7" x14ac:dyDescent="0.25">
      <c r="A5" s="3" t="s">
        <v>14</v>
      </c>
      <c r="B5" s="1" t="s">
        <v>20</v>
      </c>
      <c r="C5" s="8">
        <v>2024</v>
      </c>
      <c r="E5" t="s">
        <v>38</v>
      </c>
      <c r="F5" s="9">
        <v>2.77</v>
      </c>
      <c r="G5" t="s">
        <v>47</v>
      </c>
    </row>
    <row r="6" spans="1:7" x14ac:dyDescent="0.25">
      <c r="A6" s="3" t="s">
        <v>6</v>
      </c>
      <c r="B6" s="1" t="s">
        <v>21</v>
      </c>
      <c r="E6" t="s">
        <v>39</v>
      </c>
      <c r="F6" s="9">
        <v>1.27</v>
      </c>
      <c r="G6" t="s">
        <v>47</v>
      </c>
    </row>
    <row r="7" spans="1:7" x14ac:dyDescent="0.25">
      <c r="A7" s="3" t="s">
        <v>7</v>
      </c>
      <c r="B7" s="1" t="s">
        <v>22</v>
      </c>
      <c r="E7" t="s">
        <v>37</v>
      </c>
      <c r="F7" s="9">
        <v>4.7</v>
      </c>
      <c r="G7" t="s">
        <v>47</v>
      </c>
    </row>
    <row r="8" spans="1:7" x14ac:dyDescent="0.25">
      <c r="A8" s="3" t="s">
        <v>8</v>
      </c>
      <c r="B8" s="1" t="s">
        <v>23</v>
      </c>
      <c r="E8" t="s">
        <v>40</v>
      </c>
      <c r="F8" s="9">
        <v>1.69</v>
      </c>
      <c r="G8" t="s">
        <v>47</v>
      </c>
    </row>
    <row r="9" spans="1:7" x14ac:dyDescent="0.25">
      <c r="A9" s="3" t="s">
        <v>9</v>
      </c>
      <c r="B9" s="1" t="s">
        <v>24</v>
      </c>
      <c r="E9" t="s">
        <v>41</v>
      </c>
      <c r="F9" s="9">
        <v>2.85</v>
      </c>
      <c r="G9" t="s">
        <v>47</v>
      </c>
    </row>
    <row r="10" spans="1:7" x14ac:dyDescent="0.25">
      <c r="A10" s="3" t="s">
        <v>10</v>
      </c>
      <c r="B10" s="1" t="s">
        <v>25</v>
      </c>
      <c r="E10" t="s">
        <v>42</v>
      </c>
      <c r="F10" s="9">
        <v>6.93</v>
      </c>
      <c r="G10" t="s">
        <v>47</v>
      </c>
    </row>
    <row r="11" spans="1:7" x14ac:dyDescent="0.25">
      <c r="A11" s="3" t="s">
        <v>11</v>
      </c>
      <c r="B11" s="1" t="s">
        <v>26</v>
      </c>
      <c r="E11" t="s">
        <v>43</v>
      </c>
      <c r="F11" s="9">
        <v>3.39</v>
      </c>
      <c r="G11" t="s">
        <v>47</v>
      </c>
    </row>
    <row r="12" spans="1:7" x14ac:dyDescent="0.25">
      <c r="A12" s="3" t="s">
        <v>12</v>
      </c>
      <c r="B12" s="1" t="s">
        <v>27</v>
      </c>
      <c r="E12" t="s">
        <v>52</v>
      </c>
      <c r="F12" s="9">
        <v>0.2</v>
      </c>
      <c r="G12" t="s">
        <v>48</v>
      </c>
    </row>
    <row r="13" spans="1:7" x14ac:dyDescent="0.25">
      <c r="A13" s="3" t="s">
        <v>13</v>
      </c>
      <c r="B13" s="1" t="s">
        <v>28</v>
      </c>
      <c r="E13" t="s">
        <v>53</v>
      </c>
      <c r="F13" s="9">
        <v>1.87</v>
      </c>
      <c r="G13" t="s">
        <v>48</v>
      </c>
    </row>
    <row r="14" spans="1:7" x14ac:dyDescent="0.25">
      <c r="B14" s="1"/>
    </row>
    <row r="24" spans="8:8" x14ac:dyDescent="0.25">
      <c r="H24" s="9">
        <v>500000</v>
      </c>
    </row>
    <row r="25" spans="8:8" x14ac:dyDescent="0.25">
      <c r="H25" s="9">
        <f>H24*3%</f>
        <v>15000</v>
      </c>
    </row>
  </sheetData>
  <sortState xmlns:xlrd2="http://schemas.microsoft.com/office/spreadsheetml/2017/richdata2" ref="D2:D3">
    <sortCondition ref="D1:D3"/>
  </sortState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Notes</vt:lpstr>
      <vt:lpstr>Food Consumption</vt:lpstr>
      <vt:lpstr>DROPDOWN</vt:lpstr>
      <vt:lpstr>campus</vt:lpstr>
      <vt:lpstr>month</vt:lpstr>
      <vt:lpstr>office</vt:lpstr>
      <vt:lpstr>type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</dc:creator>
  <cp:lastModifiedBy>more info</cp:lastModifiedBy>
  <cp:lastPrinted>2023-07-04T06:03:21Z</cp:lastPrinted>
  <dcterms:created xsi:type="dcterms:W3CDTF">2023-05-23T03:38:19Z</dcterms:created>
  <dcterms:modified xsi:type="dcterms:W3CDTF">2024-01-31T07:48:23Z</dcterms:modified>
</cp:coreProperties>
</file>
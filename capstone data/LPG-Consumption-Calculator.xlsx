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user\Documents\ShareCSD\GHG emissions calculator\"/>
    </mc:Choice>
  </mc:AlternateContent>
  <xr:revisionPtr revIDLastSave="0" documentId="13_ncr:1_{ADA93926-C792-45CE-A9F1-AF46CE12104C}" xr6:coauthVersionLast="47" xr6:coauthVersionMax="47" xr10:uidLastSave="{00000000-0000-0000-0000-000000000000}"/>
  <bookViews>
    <workbookView xWindow="-120" yWindow="-120" windowWidth="29040" windowHeight="15720" firstSheet="1" activeTab="1" xr2:uid="{41911ADB-F1E1-475C-961D-D69C8AF79498}"/>
  </bookViews>
  <sheets>
    <sheet name="DROPDOWN" sheetId="2" state="hidden" r:id="rId1"/>
    <sheet name="LPG Consumption" sheetId="1" r:id="rId2"/>
    <sheet name="Sheet1" sheetId="3" r:id="rId3"/>
  </sheets>
  <definedNames>
    <definedName name="campus">DROPDOWN!$A$2:$A$13</definedName>
    <definedName name="category">DROPDOWN!#REF!</definedName>
    <definedName name="FuelType">DROPDOWN!$C$2:$C$3</definedName>
    <definedName name="month">DROPDOWN!$E$2:$E$13</definedName>
    <definedName name="plate">DROPDOWN!#REF!</definedName>
    <definedName name="type">DROPDOWN!$B$2:$B$3</definedName>
    <definedName name="vehicle">DROPDOWN!#REF!</definedName>
    <definedName name="year">DROPDOWN!$D$2:$D$4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H5" i="1" l="1"/>
  <c r="H4" i="1"/>
  <c r="H3" i="1" l="1"/>
  <c r="K3" i="2"/>
  <c r="K4" i="2"/>
  <c r="K2" i="2"/>
  <c r="K5" i="2" s="1"/>
  <c r="J4" i="1" l="1"/>
  <c r="K4" i="1" s="1"/>
  <c r="J5" i="1"/>
  <c r="K5" i="1" s="1"/>
  <c r="J3" i="1"/>
  <c r="K3" i="1" s="1"/>
  <c r="J1" i="1"/>
  <c r="K1" i="1" s="1"/>
</calcChain>
</file>

<file path=xl/sharedStrings.xml><?xml version="1.0" encoding="utf-8"?>
<sst xmlns="http://schemas.openxmlformats.org/spreadsheetml/2006/main" count="58" uniqueCount="52">
  <si>
    <t>Campus</t>
  </si>
  <si>
    <t>Month</t>
  </si>
  <si>
    <t>Year</t>
  </si>
  <si>
    <t>Alangilan</t>
  </si>
  <si>
    <t>Diesel</t>
  </si>
  <si>
    <t>Fuel</t>
  </si>
  <si>
    <t>ARASOF-Nasugbu</t>
  </si>
  <si>
    <t>Gasoline</t>
  </si>
  <si>
    <t>Balayan</t>
  </si>
  <si>
    <t>JPLPC-Malvar</t>
  </si>
  <si>
    <t>Lemery</t>
  </si>
  <si>
    <t>Lipa</t>
  </si>
  <si>
    <t>Lobo</t>
  </si>
  <si>
    <t>Mabini</t>
  </si>
  <si>
    <t>Pablo Borbon</t>
  </si>
  <si>
    <t>Rosario</t>
  </si>
  <si>
    <t>San Juan</t>
  </si>
  <si>
    <t>Central</t>
  </si>
  <si>
    <t>Factor</t>
  </si>
  <si>
    <t>GWP</t>
  </si>
  <si>
    <t>kg CO2-e</t>
  </si>
  <si>
    <t>CO2 emission</t>
  </si>
  <si>
    <t>NH4 emission</t>
  </si>
  <si>
    <t>N2O emission</t>
  </si>
  <si>
    <t>t CO2-e</t>
  </si>
  <si>
    <t>kg/L</t>
  </si>
  <si>
    <t>Type of Concessionaires</t>
  </si>
  <si>
    <t>Cooperative</t>
  </si>
  <si>
    <t>University Canteen</t>
  </si>
  <si>
    <t>Auxillary</t>
  </si>
  <si>
    <t>Auxillary Concessionaire</t>
  </si>
  <si>
    <t>Office</t>
  </si>
  <si>
    <t>RGO</t>
  </si>
  <si>
    <t>External Affairs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</si>
  <si>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</si>
  <si>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</si>
  <si>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</si>
  <si>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</si>
  <si>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</si>
  <si>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</si>
  <si>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</si>
  <si>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</si>
  <si>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</si>
  <si>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</si>
  <si>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</si>
  <si>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</si>
  <si>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Tank weight (in kg)</t>
  </si>
  <si>
    <t>LPG</t>
  </si>
  <si>
    <t>Tank Volume 
(in Liters)</t>
  </si>
  <si>
    <t>Qty (no. of tank)</t>
  </si>
  <si>
    <t>Total Tank Vol (in L)</t>
  </si>
  <si>
    <t>LPG Consumption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</si>
</sst>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.000000_);_(* \(#,##0.000000\);_(* &quot;-&quot;??_);_(@_)"/>
    <numFmt numFmtId="165" formatCode="_(* #,##0.0000000_);_(* \(#,##0.0000000\);_(* &quot;-&quot;??_);_(@_)"/>
    <numFmt numFmtId="166" formatCode="#,##0.00\ &quot;kg CO2-e&quot;"/>
    <numFmt numFmtId="167" formatCode="#,##0.0000\ &quot;t CO2-e&quot;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0" tint="-0.34998626667073579"/>
      </left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1">
    <xf numFmtId="0" fontId="0" fillId="0" borderId="0" xfId="0"/>
    <xf numFmtId="0" fontId="3" fillId="0" borderId="0" xfId="0" applyFont="1"/>
    <xf numFmtId="0" fontId="0" fillId="0" borderId="0" xfId="0" applyAlignment="1">
      <alignment horizontal="left"/>
    </xf>
    <xf numFmtId="0" fontId="2" fillId="0" borderId="6" xfId="0" applyFont="1" applyBorder="1"/>
    <xf numFmtId="165" fontId="0" fillId="0" borderId="7" xfId="1" applyNumberFormat="1" applyFont="1" applyFill="1" applyBorder="1"/>
    <xf numFmtId="165" fontId="0" fillId="0" borderId="0" xfId="1" applyNumberFormat="1" applyFont="1" applyFill="1"/>
    <xf numFmtId="0" fontId="4" fillId="0" borderId="7" xfId="0" applyFont="1" applyBorder="1"/>
    <xf numFmtId="0" fontId="0" fillId="2" borderId="0" xfId="0" applyFill="1" applyAlignment="1">
      <alignment vertical="center"/>
    </xf>
    <xf numFmtId="0" fontId="0" fillId="2" borderId="0" xfId="0" applyFill="1"/>
    <xf numFmtId="0" fontId="4" fillId="0" borderId="9" xfId="0" applyFont="1" applyBorder="1"/>
    <xf numFmtId="165" fontId="0" fillId="0" borderId="9" xfId="1" applyNumberFormat="1" applyFont="1" applyFill="1" applyBorder="1"/>
    <xf numFmtId="165" fontId="0" fillId="0" borderId="0" xfId="1" applyNumberFormat="1" applyFont="1" applyFill="1" applyBorder="1"/>
    <xf numFmtId="0" fontId="0" fillId="2" borderId="0" xfId="0" applyFill="1" applyAlignment="1">
      <alignment horizontal="center" vertical="center"/>
    </xf>
    <xf numFmtId="0" fontId="3" fillId="2" borderId="0" xfId="0" applyFont="1" applyFill="1" applyAlignment="1">
      <alignment vertical="center" wrapText="1"/>
    </xf>
    <xf numFmtId="0" fontId="0" fillId="2" borderId="0" xfId="0" applyFill="1" applyAlignment="1">
      <alignment horizontal="center"/>
    </xf>
    <xf numFmtId="0" fontId="3" fillId="0" borderId="3" xfId="0" applyFont="1" applyBorder="1" applyAlignment="1">
      <alignment horizontal="center" vertical="center" wrapText="1"/>
    </xf>
    <xf numFmtId="164" fontId="0" fillId="0" borderId="1" xfId="1" applyNumberFormat="1" applyFont="1" applyFill="1" applyBorder="1" applyAlignment="1" applyProtection="1">
      <alignment wrapText="1"/>
      <protection locked="0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0" fillId="0" borderId="4" xfId="0" applyBorder="1" applyProtection="1">
      <protection locked="0"/>
    </xf>
    <xf numFmtId="14" fontId="0" fillId="0" borderId="1" xfId="0" applyNumberFormat="1" applyBorder="1" applyProtection="1">
      <protection locked="0"/>
    </xf>
    <xf numFmtId="0" fontId="0" fillId="0" borderId="1" xfId="0" applyBorder="1" applyProtection="1">
      <protection locked="0"/>
    </xf>
    <xf numFmtId="164" fontId="0" fillId="0" borderId="10" xfId="1" applyNumberFormat="1" applyFont="1" applyFill="1" applyBorder="1"/>
    <xf numFmtId="164" fontId="0" fillId="0" borderId="8" xfId="0" applyNumberFormat="1" applyBorder="1"/>
    <xf numFmtId="0" fontId="0" fillId="0" borderId="5" xfId="0" applyBorder="1" applyProtection="1">
      <protection locked="0"/>
    </xf>
    <xf numFmtId="14" fontId="0" fillId="0" borderId="11" xfId="0" applyNumberFormat="1" applyBorder="1" applyProtection="1">
      <protection locked="0"/>
    </xf>
    <xf numFmtId="0" fontId="0" fillId="0" borderId="11" xfId="0" applyBorder="1" applyProtection="1">
      <protection locked="0"/>
    </xf>
    <xf numFmtId="0" fontId="0" fillId="0" borderId="11" xfId="0" applyBorder="1" applyAlignment="1" applyProtection="1">
      <alignment horizontal="center"/>
      <protection locked="0"/>
    </xf>
    <xf numFmtId="166" fontId="6" fillId="3" borderId="12" xfId="1" applyNumberFormat="1" applyFont="1" applyFill="1" applyBorder="1" applyAlignment="1">
      <alignment vertical="center"/>
    </xf>
    <xf numFmtId="167" fontId="0" fillId="4" borderId="13" xfId="1" applyNumberFormat="1" applyFont="1" applyFill="1" applyBorder="1" applyAlignment="1">
      <alignment vertical="center"/>
    </xf>
    <xf numFmtId="0" fontId="7" fillId="2" borderId="0" xfId="0" applyFont="1" applyFill="1" applyAlignment="1">
      <alignment vertical="center"/>
    </xf>
  </cellXfs>
  <cellStyles count="2">
    <cellStyle name="Comma" xfId="1" builtinId="3"/>
    <cellStyle name="Normal" xfId="0" builtinId="0"/>
  </cellStyles>
  <dxfs count="26">
    <dxf>
      <numFmt numFmtId="0" formatCode="General"/>
    </dxf>
    <dxf>
      <numFmt numFmtId="164" formatCode="_(* #,##0.000000_);_(* \(#,##0.000000\);_(* &quot;-&quot;??_);_(@_)"/>
      <fill>
        <patternFill patternType="none">
          <fgColor indexed="64"/>
          <bgColor auto="1"/>
        </patternFill>
      </fill>
      <border outline="0">
        <left style="thin">
          <color theme="0" tint="-0.34998626667073579"/>
        </left>
      </border>
    </dxf>
    <dxf>
      <numFmt numFmtId="164" formatCode="_(* #,##0.000000_);_(* \(#,##0.000000\);_(* &quot;-&quot;??_);_(@_)"/>
      <fill>
        <patternFill patternType="none">
          <fgColor indexed="64"/>
          <bgColor auto="1"/>
        </patternFill>
      </fill>
      <border outline="0">
        <left style="thin">
          <color theme="0" tint="-0.34998626667073579"/>
        </left>
        <right style="thin">
          <color theme="0" tint="-0.34998626667073579"/>
        </right>
      </border>
    </dxf>
    <dxf>
      <numFmt numFmtId="0" formatCode="General"/>
      <fill>
        <patternFill patternType="none">
          <fgColor indexed="64"/>
          <bgColor auto="1"/>
        </patternFill>
      </fill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  <protection locked="0" hidden="0"/>
    </dxf>
    <dxf>
      <fill>
        <patternFill patternType="none">
          <fgColor indexed="64"/>
          <bgColor indexed="65"/>
        </patternFill>
      </fill>
      <alignment horizontal="center" textRotation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  <protection locked="0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  <protection locked="0" hidden="0"/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  <protection locked="0" hidden="0"/>
    </dxf>
    <dxf>
      <numFmt numFmtId="19" formatCode="m/d/yyyy"/>
      <fill>
        <patternFill patternType="none">
          <fgColor indexed="64"/>
          <bgColor auto="1"/>
        </patternFill>
      </fill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  <protection locked="0" hidden="0"/>
    </dxf>
    <dxf>
      <numFmt numFmtId="19" formatCode="m/d/yyyy"/>
      <fill>
        <patternFill patternType="none">
          <fgColor indexed="64"/>
          <bgColor auto="1"/>
        </patternFill>
      </fill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  <protection locked="0" hidden="0"/>
    </dxf>
    <dxf>
      <fill>
        <patternFill patternType="none">
          <fgColor indexed="64"/>
          <bgColor auto="1"/>
        </patternFill>
      </fill>
      <border diagonalUp="0" diagonalDown="0" outline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  <protection locked="0" hidden="0"/>
    </dxf>
    <dxf>
      <fill>
        <patternFill patternType="none">
          <fgColor indexed="64"/>
          <bgColor auto="1"/>
        </patternFill>
      </fill>
      <border diagonalUp="0" diagonalDown="0" outline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  <protection locked="0" hidden="0"/>
    </dxf>
    <dxf>
      <border>
        <top style="thin">
          <color theme="0" tint="-0.34998626667073579"/>
        </top>
      </border>
    </dxf>
    <dxf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ill>
        <patternFill>
          <fgColor indexed="64"/>
          <bgColor theme="0" tint="-0.14999847407452621"/>
        </patternFill>
      </fill>
    </dxf>
    <dxf>
      <border>
        <bottom style="thin">
          <color theme="0" tint="-0.3499862666707357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00000_);_(* \(#,##0.0000000\);_(* &quot;-&quot;??_);_(@_)"/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00000_);_(* \(#,##0.0000000\);_(* &quot;-&quot;??_);_(@_)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00000_);_(* \(#,##0.0000000\);_(* &quot;-&quot;??_);_(@_)"/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00000_);_(* \(#,##0.0000000\);_(* &quot;-&quot;??_);_(@_)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D5D8889-157C-4D77-A736-9014FCB12984}" name="Table3" displayName="Table3" ref="H1:K5" totalsRowCount="1" headerRowDxfId="25" dataDxfId="24">
  <tableColumns count="4">
    <tableColumn id="1" xr3:uid="{4F7696DE-EDE3-4D25-B4C3-AEE313980EFE}" name="LPG" dataDxfId="23" totalsRowDxfId="22"/>
    <tableColumn id="2" xr3:uid="{421EC6E1-7365-4B33-BFE5-BADCFBF54C8E}" name="kg/L" dataDxfId="21" totalsRowDxfId="20" dataCellStyle="Comma" totalsRowCellStyle="Comma"/>
    <tableColumn id="3" xr3:uid="{A5689D1B-490B-4C13-A315-12B4FFB534B7}" name="Factor" dataDxfId="19" totalsRowDxfId="18"/>
    <tableColumn id="4" xr3:uid="{D3F11411-CD0B-408D-BB2B-1ED631AF28DA}" name="GWP" totalsRowFunction="sum" dataDxfId="17" totalsRowDxfId="16" dataCellStyle="Comma" totalsRowCellStyle="Comma">
      <calculatedColumnFormula>J2*I2</calculatedColumnFormula>
    </tableColumn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BA193B-30FD-48F7-8E87-DF81EB03AA05}" name="Table13" displayName="Table13" ref="A2:K5" totalsRowShown="0" headerRowDxfId="15" dataDxfId="13" headerRowBorderDxfId="14" tableBorderDxfId="12" totalsRowBorderDxfId="11">
  <tableColumns count="11">
    <tableColumn id="1" xr3:uid="{8AEE678E-ECCA-43E8-8507-5AFD2E357ED1}" name="Campus" dataDxfId="10"/>
    <tableColumn id="5" xr3:uid="{931105BA-2EEE-4448-A558-7FBD306F4A90}" name="Office" dataDxfId="9"/>
    <tableColumn id="2" xr3:uid="{B26B410F-4C21-4526-923F-9183F2ADBCC3}" name="Year" dataDxfId="8"/>
    <tableColumn id="4" xr3:uid="{9C43D0A8-1D62-432F-824E-D16DE51DC51B}" name="Month" dataDxfId="7"/>
    <tableColumn id="13" xr3:uid="{1626C463-8A8E-4DA9-933C-86E5E6960AFD}" name="Type of Concessionaires" dataDxfId="6"/>
    <tableColumn id="6" xr3:uid="{49A41703-E6C4-42C9-A103-57BA37FAECA5}" name="Qty (no. of tank)" dataDxfId="5"/>
    <tableColumn id="22" xr3:uid="{074A56ED-4455-405B-9A06-B017980E3077}" name="Tank weight (in kg)" dataDxfId="4"/>
    <tableColumn id="23" xr3:uid="{C8D67971-C427-4792-8996-295A6316C5C7}" name="Tank Volume _x000a_(in Liters)" dataDxfId="3">
      <calculatedColumnFormula>1.96*G3</calculatedColumnFormula>
    </tableColumn>
    <tableColumn id="3" xr3:uid="{B632D6D0-4B2C-413F-9AEB-0B0D3A45F8AF}" name="Total Tank Vol (in L)" dataDxfId="0">
      <calculatedColumnFormula>F3*H3</calculatedColumnFormula>
    </tableColumn>
    <tableColumn id="20" xr3:uid="{BA551726-CC40-436C-B65F-476DD5486228}" name="kg CO2-e" dataDxfId="2" dataCellStyle="Comma">
      <calculatedColumnFormula>H3*Table3[[#Totals],[GWP]]</calculatedColumnFormula>
    </tableColumn>
    <tableColumn id="21" xr3:uid="{5AEDB35E-7C74-473A-A301-AA4E8F56700F}" name="t CO2-e" dataDxfId="1">
      <calculatedColumnFormula>J3/1000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F7619-B915-4EEC-A4B2-2C4191E73B9A}">
  <dimension ref="A1:K13"/>
  <sheetViews>
    <sheetView zoomScale="130" zoomScaleNormal="130" workbookViewId="0">
      <selection activeCell="H21" sqref="H21"/>
    </sheetView>
  </sheetViews>
  <sheetFormatPr defaultRowHeight="15" x14ac:dyDescent="0.25"/>
  <cols>
    <col min="1" max="1" width="16.7109375" bestFit="1" customWidth="1"/>
    <col min="2" max="2" width="14.7109375" bestFit="1" customWidth="1"/>
    <col min="3" max="3" width="22.7109375" bestFit="1" customWidth="1"/>
    <col min="4" max="4" width="5.42578125" bestFit="1" customWidth="1"/>
    <col min="5" max="5" width="10.85546875" bestFit="1" customWidth="1"/>
    <col min="6" max="6" width="10.140625" customWidth="1"/>
    <col min="7" max="7" width="3.140625" customWidth="1"/>
    <col min="8" max="8" width="16.42578125" customWidth="1"/>
    <col min="9" max="9" width="11.7109375" bestFit="1" customWidth="1"/>
    <col min="10" max="10" width="10.85546875" bestFit="1" customWidth="1"/>
    <col min="11" max="11" width="11.7109375" bestFit="1" customWidth="1"/>
    <col min="14" max="14" width="10.85546875" customWidth="1"/>
    <col min="17" max="17" width="13.140625" bestFit="1" customWidth="1"/>
    <col min="18" max="18" width="13.28515625" bestFit="1" customWidth="1"/>
    <col min="19" max="19" width="13.42578125" bestFit="1" customWidth="1"/>
    <col min="23" max="23" width="13.140625" bestFit="1" customWidth="1"/>
  </cols>
  <sheetData>
    <row r="1" spans="1:11" x14ac:dyDescent="0.25">
      <c r="A1" s="1" t="s">
        <v>0</v>
      </c>
      <c r="B1" s="1" t="s">
        <v>31</v>
      </c>
      <c r="C1" s="1" t="s">
        <v>26</v>
      </c>
      <c r="D1" s="1" t="s">
        <v>2</v>
      </c>
      <c r="E1" s="1" t="s">
        <v>1</v>
      </c>
      <c r="H1" s="3" t="s">
        <v>47</v>
      </c>
      <c r="I1" t="s">
        <v>25</v>
      </c>
      <c r="J1" t="s">
        <v>18</v>
      </c>
      <c r="K1" t="s">
        <v>19</v>
      </c>
    </row>
    <row r="2" spans="1:11" x14ac:dyDescent="0.25">
      <c r="A2" s="2" t="s">
        <v>3</v>
      </c>
      <c r="B2" t="s">
        <v>29</v>
      </c>
      <c r="C2" t="s">
        <v>27</v>
      </c>
      <c r="D2">
        <v>2022</v>
      </c>
      <c r="E2" t="s">
        <v>34</v>
      </c>
      <c r="H2" s="6" t="s">
        <v>21</v>
      </c>
      <c r="I2" s="4">
        <v>1.5025999999999999</v>
      </c>
      <c r="J2">
        <v>1</v>
      </c>
      <c r="K2" s="5">
        <f>J2*I2</f>
        <v>1.5025999999999999</v>
      </c>
    </row>
    <row r="3" spans="1:11" x14ac:dyDescent="0.25">
      <c r="A3" s="2" t="s">
        <v>6</v>
      </c>
      <c r="B3" t="s">
        <v>32</v>
      </c>
      <c r="C3" t="s">
        <v>28</v>
      </c>
      <c r="D3">
        <v>2023</v>
      </c>
      <c r="E3" t="s">
        <v>35</v>
      </c>
      <c r="H3" s="6" t="s">
        <v>22</v>
      </c>
      <c r="I3" s="4">
        <v>7.3999999999999996E-5</v>
      </c>
      <c r="J3">
        <v>25</v>
      </c>
      <c r="K3" s="5">
        <f t="shared" ref="K3:K4" si="0">J3*I3</f>
        <v>1.8499999999999999E-3</v>
      </c>
    </row>
    <row r="4" spans="1:11" x14ac:dyDescent="0.25">
      <c r="A4" s="2" t="s">
        <v>8</v>
      </c>
      <c r="B4" t="s">
        <v>33</v>
      </c>
      <c r="C4" t="s">
        <v>30</v>
      </c>
      <c r="D4">
        <v>2024</v>
      </c>
      <c r="E4" t="s">
        <v>36</v>
      </c>
      <c r="H4" s="6" t="s">
        <v>23</v>
      </c>
      <c r="I4" s="4">
        <v>1.5800000000000001E-5</v>
      </c>
      <c r="J4">
        <v>298</v>
      </c>
      <c r="K4" s="5">
        <f t="shared" si="0"/>
        <v>4.7084000000000006E-3</v>
      </c>
    </row>
    <row r="5" spans="1:11" x14ac:dyDescent="0.25">
      <c r="A5" s="2" t="s">
        <v>17</v>
      </c>
      <c r="E5" t="s">
        <v>37</v>
      </c>
      <c r="H5" s="9"/>
      <c r="I5" s="10"/>
      <c r="K5" s="11">
        <f>SUBTOTAL(109,Table3[GWP])</f>
        <v>1.5091583999999998</v>
      </c>
    </row>
    <row r="6" spans="1:11" x14ac:dyDescent="0.25">
      <c r="A6" s="2" t="s">
        <v>9</v>
      </c>
      <c r="E6" t="s">
        <v>38</v>
      </c>
    </row>
    <row r="7" spans="1:11" x14ac:dyDescent="0.25">
      <c r="A7" s="2" t="s">
        <v>10</v>
      </c>
      <c r="E7" t="s">
        <v>39</v>
      </c>
    </row>
    <row r="8" spans="1:11" x14ac:dyDescent="0.25">
      <c r="A8" s="2" t="s">
        <v>11</v>
      </c>
      <c r="E8" t="s">
        <v>40</v>
      </c>
    </row>
    <row r="9" spans="1:11" x14ac:dyDescent="0.25">
      <c r="A9" s="2" t="s">
        <v>12</v>
      </c>
      <c r="E9" t="s">
        <v>41</v>
      </c>
    </row>
    <row r="10" spans="1:11" x14ac:dyDescent="0.25">
      <c r="A10" s="2" t="s">
        <v>13</v>
      </c>
      <c r="E10" t="s">
        <v>42</v>
      </c>
    </row>
    <row r="11" spans="1:11" x14ac:dyDescent="0.25">
      <c r="A11" s="2" t="s">
        <v>14</v>
      </c>
      <c r="E11" t="s">
        <v>43</v>
      </c>
    </row>
    <row r="12" spans="1:11" x14ac:dyDescent="0.25">
      <c r="A12" s="2" t="s">
        <v>15</v>
      </c>
      <c r="E12" t="s">
        <v>44</v>
      </c>
    </row>
    <row r="13" spans="1:11" x14ac:dyDescent="0.25">
      <c r="A13" s="2" t="s">
        <v>16</v>
      </c>
      <c r="E13" t="s">
        <v>45</v>
      </c>
    </row>
  </sheetData>
  <sortState xmlns:xlrd2="http://schemas.microsoft.com/office/spreadsheetml/2017/richdata2" ref="A2:A13">
    <sortCondition ref="A2:A13"/>
  </sortState>
  <phoneticPr fontId="5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1DA01-DAF7-4694-A653-B6F0DDEDFDE5}">
  <sheetPr>
    <tabColor rgb="FFFF0000"/>
    <pageSetUpPr fitToPage="1"/>
  </sheetPr>
  <dimension ref="A1:K5"/>
  <sheetViews>
    <sheetView showGridLines="0" tabSelected="1" zoomScale="115" zoomScaleNormal="115" workbookViewId="0">
      <pane ySplit="2" topLeftCell="A3" activePane="bottomLeft" state="frozen"/>
      <selection pane="bottomLeft"/>
    </sheetView>
  </sheetViews>
  <sheetFormatPr defaultRowHeight="15" x14ac:dyDescent="0.25"/>
  <cols>
    <col min="1" max="1" width="16.7109375" style="8" bestFit="1" customWidth="1"/>
    <col min="2" max="2" width="16.7109375" style="8" customWidth="1"/>
    <col min="3" max="4" width="14.85546875" style="8" customWidth="1"/>
    <col min="5" max="5" width="15.7109375" style="8" customWidth="1"/>
    <col min="6" max="6" width="10" style="8" bestFit="1" customWidth="1"/>
    <col min="7" max="7" width="12.28515625" style="14" customWidth="1"/>
    <col min="8" max="8" width="12.5703125" style="8" bestFit="1" customWidth="1"/>
    <col min="9" max="9" width="12.5703125" style="8" customWidth="1"/>
    <col min="10" max="10" width="20.85546875" style="8" customWidth="1"/>
    <col min="11" max="11" width="18.140625" style="8" customWidth="1"/>
    <col min="12" max="16384" width="9.140625" style="8"/>
  </cols>
  <sheetData>
    <row r="1" spans="1:11" s="7" customFormat="1" ht="32.25" customHeight="1" thickBot="1" x14ac:dyDescent="0.3">
      <c r="A1" s="30" t="s">
        <v>51</v>
      </c>
      <c r="G1" s="12"/>
      <c r="J1" s="28">
        <f>SUM(Table13[kg CO2-e])</f>
        <v>32.537455103999996</v>
      </c>
      <c r="K1" s="29">
        <f>J1/1000</f>
        <v>3.2537455103999996E-2</v>
      </c>
    </row>
    <row r="2" spans="1:11" s="13" customFormat="1" ht="30" x14ac:dyDescent="0.25">
      <c r="A2" s="17" t="s">
        <v>0</v>
      </c>
      <c r="B2" s="17" t="s">
        <v>31</v>
      </c>
      <c r="C2" s="15" t="s">
        <v>2</v>
      </c>
      <c r="D2" s="15" t="s">
        <v>1</v>
      </c>
      <c r="E2" s="18" t="s">
        <v>26</v>
      </c>
      <c r="F2" s="18" t="s">
        <v>49</v>
      </c>
      <c r="G2" s="15" t="s">
        <v>46</v>
      </c>
      <c r="H2" s="18" t="s">
        <v>48</v>
      </c>
      <c r="I2" s="18" t="s">
        <v>50</v>
      </c>
      <c r="J2" s="15" t="s">
        <v>20</v>
      </c>
      <c r="K2" s="15" t="s">
        <v>24</v>
      </c>
    </row>
    <row r="3" spans="1:11" x14ac:dyDescent="0.25">
      <c r="A3" s="19" t="s">
        <v>6</v>
      </c>
      <c r="B3" s="19"/>
      <c r="C3" s="20"/>
      <c r="D3" s="20"/>
      <c r="E3" s="21"/>
      <c r="F3" s="21">
        <v>3</v>
      </c>
      <c r="G3" s="21">
        <v>11</v>
      </c>
      <c r="H3">
        <f t="shared" ref="H3:I3" si="0">1.96*G3</f>
        <v>21.56</v>
      </c>
      <c r="I3">
        <f t="shared" ref="I3:I5" si="1">F3*H3</f>
        <v>64.679999999999993</v>
      </c>
      <c r="J3" s="16">
        <f>H3*Table3[[#Totals],[GWP]]</f>
        <v>32.537455103999996</v>
      </c>
      <c r="K3" s="16">
        <f t="shared" ref="K3" si="2">J3/1000</f>
        <v>3.2537455103999996E-2</v>
      </c>
    </row>
    <row r="4" spans="1:11" x14ac:dyDescent="0.25">
      <c r="A4" s="24"/>
      <c r="B4" s="24"/>
      <c r="C4" s="25"/>
      <c r="D4" s="25"/>
      <c r="E4" s="26"/>
      <c r="F4" s="26"/>
      <c r="G4" s="27"/>
      <c r="H4" s="26">
        <f>1.96*G4</f>
        <v>0</v>
      </c>
      <c r="I4" s="26">
        <f t="shared" si="1"/>
        <v>0</v>
      </c>
      <c r="J4" s="22">
        <f>H4*Table3[[#Totals],[GWP]]</f>
        <v>0</v>
      </c>
      <c r="K4" s="23">
        <f>J4/1000</f>
        <v>0</v>
      </c>
    </row>
    <row r="5" spans="1:11" x14ac:dyDescent="0.25">
      <c r="A5" s="24"/>
      <c r="B5" s="24"/>
      <c r="C5" s="25"/>
      <c r="D5" s="25"/>
      <c r="E5" s="26"/>
      <c r="F5" s="26"/>
      <c r="G5" s="27"/>
      <c r="H5" s="26">
        <f>1.96*G5</f>
        <v>0</v>
      </c>
      <c r="I5" s="26">
        <f t="shared" si="1"/>
        <v>0</v>
      </c>
      <c r="J5" s="22">
        <f>H5*Table3[[#Totals],[GWP]]</f>
        <v>0</v>
      </c>
      <c r="K5" s="23">
        <f>J5/1000</f>
        <v>0</v>
      </c>
    </row>
  </sheetData>
  <sheetProtection selectLockedCells="1"/>
  <dataValidations count="5">
    <dataValidation allowBlank="1" showInputMessage="1" showErrorMessage="1" promptTitle="Keyboard Shortcut" sqref="C2:D2" xr:uid="{0AF3F525-9716-49ED-B982-DE85F5D50F38}"/>
    <dataValidation type="list" operator="lessThanOrEqual" allowBlank="1" showInputMessage="1" showErrorMessage="1" errorTitle="Date Field" error="Enter a valid date!" sqref="C3:C5" xr:uid="{40DAD96D-5BA4-4E1A-902D-5AD7445E5B75}">
      <formula1>year</formula1>
    </dataValidation>
    <dataValidation type="list" operator="lessThanOrEqual" allowBlank="1" showInputMessage="1" showErrorMessage="1" errorTitle="Date Field" error="Enter a valid date!" sqref="D3:D5" xr:uid="{730F7040-6035-4B2F-8BDC-EA78C4AEA2D6}">
      <formula1>month</formula1>
    </dataValidation>
    <dataValidation type="list" allowBlank="1" showInputMessage="1" showErrorMessage="1" sqref="E3:E5" xr:uid="{E85FB942-3CDE-4CA2-AEF4-58D59F36CE24}">
      <formula1>category</formula1>
    </dataValidation>
    <dataValidation type="list" allowBlank="1" showInputMessage="1" showErrorMessage="1" sqref="A3:A5" xr:uid="{D54003B7-A325-4E81-B2BC-5350DDF83CBD}">
      <formula1>campus</formula1>
    </dataValidation>
  </dataValidations>
  <pageMargins left="0.7" right="0.7" top="0.89249999999999996" bottom="0.75" header="0.3" footer="0.3"/>
  <pageSetup paperSize="14" scale="64" fitToHeight="0" orientation="landscape" horizontalDpi="0" verticalDpi="0" r:id="rId1"/>
  <headerFooter>
    <oddHeader>&amp;L&amp;G&amp;C&amp;"Arial Nova,Bold"&amp;16
Fuel Consumption Report</oddHeader>
    <oddFooter>&amp;C&amp;9Prepared by Data Analyst &amp;D&amp;R&amp;9&amp;Z&amp;F   &amp;"-,Italic"Page &amp;P of &amp;N</oddFooter>
  </headerFooter>
  <legacyDrawingHF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E1D124B-E1E8-4270-92D4-B234CEAC684D}">
          <x14:formula1>
            <xm:f>DROPDOWN!$B$2:$B$4</xm:f>
          </x14:formula1>
          <xm:sqref>B3:B5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CAAE1-F892-41B7-88EB-8A4BDD8EB942}">
  <dimension ref="A1:A3"/>
  <sheetViews>
    <sheetView workbookViewId="0">
      <selection activeCell="A4" sqref="A4"/>
    </sheetView>
  </sheetViews>
  <sheetFormatPr defaultRowHeight="15" x14ac:dyDescent="0.25"/>
  <sheetData>
    <row r="1" spans="1:1" x14ac:dyDescent="0.25">
      <c r="A1" t="s">
        <v>5</v>
      </c>
    </row>
    <row r="2" spans="1:1" x14ac:dyDescent="0.25">
      <c r="A2" t="s">
        <v>4</v>
      </c>
    </row>
    <row r="3" spans="1:1" x14ac:dyDescent="0.25">
      <c r="A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DROPDOWN</vt:lpstr>
      <vt:lpstr>LPG Consumption</vt:lpstr>
      <vt:lpstr>Sheet1</vt:lpstr>
      <vt:lpstr>campus</vt:lpstr>
      <vt:lpstr>FuelType</vt:lpstr>
      <vt:lpstr>month</vt:lpstr>
      <vt:lpstr>type</vt:lpstr>
      <vt:lpstr>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 Analyst</dc:creator>
  <cp:lastModifiedBy>Data Analyst</cp:lastModifiedBy>
  <cp:lastPrinted>2023-07-04T06:03:21Z</cp:lastPrinted>
  <dcterms:created xsi:type="dcterms:W3CDTF">2023-05-23T03:38:19Z</dcterms:created>
  <dcterms:modified xsi:type="dcterms:W3CDTF">2023-08-06T00:00:41Z</dcterms:modified>
</cp:coreProperties>
</file>
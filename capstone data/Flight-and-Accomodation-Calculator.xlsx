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Flight" sheetId="2" r:id="rId5"/>
    <sheet state="visible" name="Accomodation" sheetId="3" r:id="rId6"/>
    <sheet state="visible" name="CO2-e using ICAO Calculator" sheetId="4" r:id="rId7"/>
    <sheet state="hidden" name="DD" sheetId="5" r:id="rId8"/>
    <sheet state="hidden" name="factors" sheetId="6" r:id="rId9"/>
  </sheets>
  <externalReferences>
    <externalReference r:id="rId10"/>
  </externalReferences>
  <definedNames>
    <definedName name="Class">DD!$C$2:$C$3</definedName>
    <definedName name="Trip">DD!$D$3:$D$4</definedName>
    <definedName name="country">DD!$A$3:$A$54</definedName>
    <definedName name="FlightType">DD!$B$2:$B$3</definedName>
    <definedName name="campus">DD!$A$2:$A$13</definedName>
    <definedName localSheetId="5" name="country">factors!$A$3:$A$54</definedName>
    <definedName localSheetId="5" name="Trip">factors!$D$3:$D$4</definedName>
    <definedName localSheetId="5" name="Class">factors!$C$3:$C$5</definedName>
  </definedNames>
  <calcPr/>
  <extLst>
    <ext uri="GoogleSheetsCustomDataVersion2">
      <go:sheetsCustomData xmlns:go="http://customooxmlschemas.google.com/" r:id="rId11" roundtripDataChecksum="Oeek37nu6IFeZ2v+zZ/QYU7/vUEAgyHX9MSRilufM38="/>
    </ext>
  </extLst>
</workbook>
</file>

<file path=xl/sharedStrings.xml><?xml version="1.0" encoding="utf-8"?>
<sst xmlns="http://schemas.openxmlformats.org/spreadsheetml/2006/main" count="409" uniqueCount="330">
  <si>
    <t xml:space="preserve">Notes: </t>
  </si>
  <si>
    <t>1. The Flight and Accommodation GHG Emission Calculator is cited within the United Nations Framework Convention on Climate Change (UNFCCC) standard calculator for the calculation of greenhouse gas emissions.</t>
  </si>
  <si>
    <t>2. There are 4 sheets in this workbook. 1-Notes 2- Flight 3- Accomodation 4. Sample image of ICAO Calculator</t>
  </si>
  <si>
    <t xml:space="preserve">3. Your input shall be in Sheet 2 and 3. </t>
  </si>
  <si>
    <t>Flight</t>
  </si>
  <si>
    <t xml:space="preserve">1. In order to compute the flight emissions the ICAO Calculator will be used. It is a web-based calculator provided by the UNFCCC. All IATA code/city including local and international flights are available in the calculator. </t>
  </si>
  <si>
    <t xml:space="preserve">2. Here is the link of the calculator. </t>
  </si>
  <si>
    <t>https://applications.icao.int/icec/Home/Index</t>
  </si>
  <si>
    <t xml:space="preserve">3. kg CO2-e in flight shall be encoded manually as this will be computed using the ICAO Calculator. While the tCO2-e will be automatically computed once the kg CO2-e has input. </t>
  </si>
  <si>
    <t>4. If the employee has multiple business travels, his/her name shall be duplicated.</t>
  </si>
  <si>
    <t>Hotel</t>
  </si>
  <si>
    <t>1. This sheet shall be furnished if the official business travel includes overnight hotel accommodation.</t>
  </si>
  <si>
    <t xml:space="preserve">2.  If the employee has multiple business travels with overnight hotel accomodations, his/her name shall be duplicated. </t>
  </si>
  <si>
    <t xml:space="preserve">3. The GHG emission will be automatically computed once the sheet has input. </t>
  </si>
  <si>
    <t xml:space="preserve">Please do not make any adjustment in the worksheets such as adding/deleting rows or columns. Thank you. </t>
  </si>
  <si>
    <t>Greenhouse Gas (GHG) Emissions Calculator</t>
  </si>
  <si>
    <t>source:</t>
  </si>
  <si>
    <t>Use this link to access the ICAO Calculator.</t>
  </si>
  <si>
    <t>Flights</t>
  </si>
  <si>
    <t xml:space="preserve">Your input for the column kg CO2e will be from ICAO Calculator. </t>
  </si>
  <si>
    <t>Individuals flying for work purposes</t>
  </si>
  <si>
    <t>Campus</t>
  </si>
  <si>
    <t>Office/Department</t>
  </si>
  <si>
    <t>Year</t>
  </si>
  <si>
    <t>Name of Traveller</t>
  </si>
  <si>
    <t>Event Name/Purpose of Travel</t>
  </si>
  <si>
    <t>Travel Date
(mm/dd/yyyy)</t>
  </si>
  <si>
    <t>Domestic/ International</t>
  </si>
  <si>
    <t>Origin (city or IATA code)</t>
  </si>
  <si>
    <t>Destination (city or IATA code)</t>
  </si>
  <si>
    <t>Class</t>
  </si>
  <si>
    <t>One Way / Round Trip</t>
  </si>
  <si>
    <t>kg CO2e</t>
  </si>
  <si>
    <r>
      <rPr>
        <rFont val="Times New Roman"/>
        <b/>
        <color theme="1"/>
        <sz val="11.0"/>
      </rPr>
      <t>t CO</t>
    </r>
    <r>
      <rPr>
        <rFont val="Times New Roman"/>
        <b/>
        <color theme="1"/>
        <sz val="11.0"/>
        <vertAlign val="subscript"/>
      </rPr>
      <t>2</t>
    </r>
    <r>
      <rPr>
        <rFont val="Times New Roman"/>
        <b/>
        <color theme="1"/>
        <sz val="11.0"/>
      </rPr>
      <t>e</t>
    </r>
  </si>
  <si>
    <t>ARASOF-Nasugbu</t>
  </si>
  <si>
    <t>OVCAA</t>
  </si>
  <si>
    <t>Juan Dela Cruz</t>
  </si>
  <si>
    <t>International Math Conference</t>
  </si>
  <si>
    <t>Domestic</t>
  </si>
  <si>
    <t>MNL</t>
  </si>
  <si>
    <t>CEB</t>
  </si>
  <si>
    <t>Economy</t>
  </si>
  <si>
    <t>Round Trip</t>
  </si>
  <si>
    <t>Emissons associated with overnight hotel stays for work purposes</t>
  </si>
  <si>
    <t>Travel Date
(mm/dd/yyyy) From</t>
  </si>
  <si>
    <t>Travel Date
(mm/dd/yyyy) To</t>
  </si>
  <si>
    <t>Country</t>
  </si>
  <si>
    <t>Local/ International</t>
  </si>
  <si>
    <t>No. of Occupied Rooms</t>
  </si>
  <si>
    <t>No. of Nights per room</t>
  </si>
  <si>
    <t>Factor</t>
  </si>
  <si>
    <t>kg CO2 -e</t>
  </si>
  <si>
    <t>t CO2 -e</t>
  </si>
  <si>
    <t>OVCDEA</t>
  </si>
  <si>
    <t>Maria Dela Cruz</t>
  </si>
  <si>
    <t>Philippines</t>
  </si>
  <si>
    <t>Local</t>
  </si>
  <si>
    <t>FlightType</t>
  </si>
  <si>
    <t>Trip</t>
  </si>
  <si>
    <t>COUNTRY</t>
  </si>
  <si>
    <t>Alangilan</t>
  </si>
  <si>
    <t>One Way</t>
  </si>
  <si>
    <t>International</t>
  </si>
  <si>
    <t>Business Class</t>
  </si>
  <si>
    <t>Afghanistan</t>
  </si>
  <si>
    <t>Balayan</t>
  </si>
  <si>
    <t>Albania</t>
  </si>
  <si>
    <t>JPLPC-Malvar</t>
  </si>
  <si>
    <t>Algeria</t>
  </si>
  <si>
    <t>Lemery</t>
  </si>
  <si>
    <t>American Samoa</t>
  </si>
  <si>
    <t>Lipa</t>
  </si>
  <si>
    <t>Andorra</t>
  </si>
  <si>
    <t>Lobo</t>
  </si>
  <si>
    <t>Angola</t>
  </si>
  <si>
    <t>Mabini</t>
  </si>
  <si>
    <t>Anguilla</t>
  </si>
  <si>
    <t>Pablo Borbon</t>
  </si>
  <si>
    <t>Antarctica</t>
  </si>
  <si>
    <t>Rosario</t>
  </si>
  <si>
    <t>Antigua and Barbuda</t>
  </si>
  <si>
    <t>San Juan</t>
  </si>
  <si>
    <t>Argentina</t>
  </si>
  <si>
    <t>CENTRAL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</si>
  <si>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</si>
  <si>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</si>
  <si>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</si>
  <si>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</si>
  <si>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</si>
  <si>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</si>
  <si>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</si>
  <si>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</si>
  <si>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</si>
  <si>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</si>
  <si>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</si>
  <si>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</si>
  <si>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</si>
  <si>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</si>
  <si>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</si>
  <si>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</si>
  <si>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</si>
  <si>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</si>
  <si>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</si>
  <si>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</si>
  <si>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</si>
  <si>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</si>
  <si>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</si>
  <si>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</si>
  <si>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</si>
  <si>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</si>
  <si>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</si>
  <si>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</si>
  <si>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</si>
  <si>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</si>
  <si>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</si>
  <si>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</si>
  <si>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</si>
  <si>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</si>
  <si>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</si>
  <si>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Islands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</si>
  <si>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</si>
  <si>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</si>
  <si>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</si>
  <si>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</si>
  <si>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</si>
  <si>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</si>
  <si>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</si>
  <si>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</si>
  <si>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</si>
  <si>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</si>
  <si>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</si>
  <si>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</si>
  <si>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</si>
  <si>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</si>
  <si>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</si>
  <si>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</si>
  <si>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</si>
  <si>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</si>
  <si>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</si>
  <si>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</si>
  <si>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</si>
  <si>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</si>
  <si>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</si>
  <si>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</si>
  <si>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</si>
  <si>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</si>
  <si>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</si>
  <si>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</si>
  <si>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</si>
  <si>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</si>
  <si>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</si>
  <si>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</si>
  <si>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</si>
  <si>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</si>
  <si>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</si>
  <si>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</si>
  <si>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</si>
  <si>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</si>
  <si>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</si>
  <si>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</si>
  <si>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</si>
  <si>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</si>
  <si>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</si>
  <si>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</si>
  <si>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</si>
  <si>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</si>
  <si>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</si>
  <si>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</si>
  <si>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</si>
  <si>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</si>
  <si>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</si>
  <si>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</si>
  <si>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</si>
  <si>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</si>
  <si>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</si>
  <si>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</si>
  <si>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</si>
  <si>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</si>
  <si>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</si>
  <si>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</si>
  <si>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</si>
  <si>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</si>
  <si>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</si>
  <si>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</si>
  <si>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</si>
  <si>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</si>
  <si>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</si>
  <si>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</si>
  <si>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</si>
  <si>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</si>
  <si>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</si>
  <si>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</si>
  <si>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</si>
  <si>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</si>
  <si>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</si>
  <si>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</si>
  <si>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</si>
  <si>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</si>
  <si>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</si>
  <si>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</si>
  <si>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</si>
  <si>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</si>
  <si>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</si>
  <si>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</si>
  <si>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</si>
  <si>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</si>
  <si>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</si>
  <si>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</si>
  <si>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</si>
  <si>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</si>
  <si>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</si>
  <si>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</si>
  <si>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</si>
  <si>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</si>
  <si>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</si>
  <si>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</si>
  <si>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</si>
  <si>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</si>
  <si>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</si>
  <si>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</si>
  <si>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</si>
  <si>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</si>
  <si>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</si>
  <si>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</si>
  <si>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</si>
  <si>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</si>
  <si>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</si>
  <si>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</si>
  <si>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</si>
  <si>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</si>
  <si>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</si>
  <si>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</si>
  <si>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</si>
  <si>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</si>
  <si>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</si>
  <si>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</si>
  <si>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</si>
  <si>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</si>
  <si>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</si>
  <si>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</si>
  <si>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Pitcairn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</si>
  <si>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</si>
  <si>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</si>
  <si>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</si>
  <si>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</si>
  <si>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</si>
  <si>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</si>
  <si>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</si>
  <si>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</si>
  <si>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</si>
  <si>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</si>
  <si>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</si>
  <si>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</si>
  <si>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</si>
  <si>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</si>
  <si>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</si>
  <si>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</si>
  <si>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</si>
  <si>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</si>
  <si>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</si>
  <si>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</si>
  <si>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</si>
  <si>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</si>
  <si>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</si>
  <si>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</si>
  <si>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</si>
  <si>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</si>
  <si>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</si>
  <si>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</si>
  <si>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</si>
  <si>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</si>
  <si>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</si>
  <si>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</si>
  <si>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</si>
  <si>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</si>
  <si>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</si>
  <si>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</si>
  <si>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</si>
  <si>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</si>
  <si>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</si>
  <si>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</si>
  <si>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</si>
  <si>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</si>
  <si>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</si>
  <si>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</si>
  <si>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</si>
  <si>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</si>
  <si>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</si>
  <si>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</si>
  <si>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</si>
  <si>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</si>
  <si>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</si>
  <si>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</si>
  <si>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</si>
  <si>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</si>
  <si>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</si>
  <si>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</si>
  <si>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</si>
  <si>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</si>
  <si>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</si>
  <si>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</si>
  <si>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</si>
  <si>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</si>
  <si>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</si>
  <si>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</si>
  <si>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</si>
  <si>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</si>
  <si>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</si>
  <si>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</si>
  <si>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</si>
  <si>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</si>
  <si>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</si>
  <si>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</si>
  <si>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Waste Type</t>
  </si>
  <si>
    <t>Unit</t>
  </si>
  <si>
    <t>Amount</t>
  </si>
  <si>
    <t>Organic: food and drink waste</t>
  </si>
  <si>
    <t>kg</t>
  </si>
  <si>
    <t>Business</t>
  </si>
  <si>
    <t>Organic: garden waste</t>
  </si>
  <si>
    <t>Private Jet</t>
  </si>
  <si>
    <t>Plastic</t>
  </si>
  <si>
    <t>Metal</t>
  </si>
  <si>
    <t>Paper</t>
  </si>
  <si>
    <t>Hong Kong, China</t>
  </si>
  <si>
    <t>Korea</t>
  </si>
  <si>
    <t>Macau, China</t>
  </si>
  <si>
    <t>Russian Federation</t>
  </si>
  <si>
    <t>Slovak Republic</t>
  </si>
  <si>
    <t>Taiwan, 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</si>
</sst>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(* #,##0.00_);_(* \(#,##0.00\);_(* &quot;-&quot;??_);_(@_)"/>
  </numFmts>
  <fonts count="12">
    <font>
      <sz val="11.0"/>
      <color theme="1"/>
      <name val="Times New Roman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u/>
      <sz val="11.0"/>
      <color theme="10"/>
      <name val="Times New Roman"/>
    </font>
    <font>
      <i/>
      <sz val="11.0"/>
      <color theme="1"/>
      <name val="Times New Roman"/>
    </font>
    <font>
      <u/>
      <sz val="11.0"/>
      <color rgb="FF0563C1"/>
      <name val="Times New Roman"/>
    </font>
    <font>
      <u/>
      <sz val="11.0"/>
      <color theme="10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sz val="12.0"/>
      <color rgb="FF000000"/>
      <name val="Arial"/>
    </font>
    <font>
      <b/>
      <sz val="11.0"/>
      <color theme="1"/>
      <name val="Calibri"/>
    </font>
    <font>
      <color theme="1"/>
      <name val="Times New Roman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0" xfId="0" applyAlignment="1" applyBorder="1" applyFont="1">
      <alignment horizontal="left"/>
    </xf>
    <xf borderId="1" fillId="2" fontId="3" numFmtId="0" xfId="0" applyBorder="1" applyFont="1"/>
    <xf borderId="1" fillId="2" fontId="2" numFmtId="0" xfId="0" applyAlignment="1" applyBorder="1" applyFont="1">
      <alignment horizontal="left"/>
    </xf>
    <xf borderId="1" fillId="3" fontId="1" numFmtId="0" xfId="0" applyAlignment="1" applyBorder="1" applyFill="1" applyFont="1">
      <alignment horizontal="left"/>
    </xf>
    <xf borderId="1" fillId="3" fontId="1" numFmtId="0" xfId="0" applyBorder="1" applyFont="1"/>
    <xf borderId="1" fillId="4" fontId="1" numFmtId="0" xfId="0" applyBorder="1" applyFill="1" applyFont="1"/>
    <xf borderId="1" fillId="4" fontId="2" numFmtId="0" xfId="0" applyBorder="1" applyFont="1"/>
    <xf borderId="1" fillId="4" fontId="2" numFmtId="0" xfId="0" applyAlignment="1" applyBorder="1" applyFont="1">
      <alignment horizontal="center"/>
    </xf>
    <xf borderId="1" fillId="4" fontId="1" numFmtId="0" xfId="0" applyAlignment="1" applyBorder="1" applyFont="1">
      <alignment shrinkToFit="0" wrapText="1"/>
    </xf>
    <xf borderId="1" fillId="4" fontId="4" numFmtId="0" xfId="0" applyBorder="1" applyFont="1"/>
    <xf borderId="1" fillId="4" fontId="5" numFmtId="0" xfId="0" applyAlignment="1" applyBorder="1" applyFont="1">
      <alignment readingOrder="0"/>
    </xf>
    <xf borderId="1" fillId="4" fontId="1" numFmtId="164" xfId="0" applyBorder="1" applyFont="1" applyNumberFormat="1"/>
    <xf borderId="1" fillId="4" fontId="1" numFmtId="4" xfId="0" applyBorder="1" applyFont="1" applyNumberFormat="1"/>
    <xf borderId="1" fillId="4" fontId="6" numFmtId="164" xfId="0" applyBorder="1" applyFont="1" applyNumberFormat="1"/>
    <xf borderId="1" fillId="4" fontId="1" numFmtId="0" xfId="0" applyAlignment="1" applyBorder="1" applyFont="1">
      <alignment horizontal="center"/>
    </xf>
    <xf borderId="2" fillId="2" fontId="2" numFmtId="4" xfId="0" applyAlignment="1" applyBorder="1" applyFont="1" applyNumberFormat="1">
      <alignment horizontal="center" vertical="center"/>
    </xf>
    <xf borderId="2" fillId="2" fontId="2" numFmtId="4" xfId="0" applyAlignment="1" applyBorder="1" applyFont="1" applyNumberFormat="1">
      <alignment vertical="center"/>
    </xf>
    <xf borderId="1" fillId="4" fontId="2" numFmtId="0" xfId="0" applyAlignment="1" applyBorder="1" applyFont="1">
      <alignment shrinkToFit="0" vertical="center" wrapText="1"/>
    </xf>
    <xf borderId="3" fillId="5" fontId="2" numFmtId="0" xfId="0" applyAlignment="1" applyBorder="1" applyFill="1" applyFont="1">
      <alignment horizontal="center" shrinkToFit="0" vertical="center" wrapText="1"/>
    </xf>
    <xf borderId="4" fillId="5" fontId="2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5" fillId="5" fontId="2" numFmtId="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vertical="center"/>
    </xf>
    <xf borderId="4" fillId="2" fontId="1" numFmtId="0" xfId="0" applyAlignment="1" applyBorder="1" applyFont="1">
      <alignment horizontal="center" shrinkToFit="0" vertical="center" wrapText="1"/>
    </xf>
    <xf borderId="4" fillId="2" fontId="1" numFmtId="14" xfId="0" applyAlignment="1" applyBorder="1" applyFont="1" applyNumberForma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1" numFmtId="4" xfId="0" applyAlignment="1" applyBorder="1" applyFont="1" applyNumberFormat="1">
      <alignment horizontal="center" shrinkToFit="0" vertical="center" wrapText="1"/>
    </xf>
    <xf borderId="5" fillId="6" fontId="1" numFmtId="4" xfId="0" applyAlignment="1" applyBorder="1" applyFill="1" applyFont="1" applyNumberFormat="1">
      <alignment horizontal="center" vertical="center"/>
    </xf>
    <xf borderId="6" fillId="2" fontId="1" numFmtId="14" xfId="0" applyAlignment="1" applyBorder="1" applyFont="1" applyNumberFormat="1">
      <alignment horizontal="center" shrinkToFit="0" vertical="center" wrapText="1"/>
    </xf>
    <xf borderId="0" fillId="7" fontId="9" numFmtId="4" xfId="0" applyAlignment="1" applyFill="1" applyFont="1" applyNumberFormat="1">
      <alignment horizontal="right" readingOrder="0"/>
    </xf>
    <xf borderId="8" fillId="6" fontId="1" numFmtId="4" xfId="0" applyAlignment="1" applyBorder="1" applyFont="1" applyNumberFormat="1">
      <alignment horizontal="center" vertical="center"/>
    </xf>
    <xf borderId="8" fillId="2" fontId="1" numFmtId="4" xfId="0" applyAlignment="1" applyBorder="1" applyFont="1" applyNumberFormat="1">
      <alignment horizontal="center" readingOrder="0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9" fillId="2" fontId="1" numFmtId="14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4" xfId="0" applyAlignment="1" applyBorder="1" applyFont="1" applyNumberFormat="1">
      <alignment horizontal="center" shrinkToFit="0" vertical="center" wrapText="1"/>
    </xf>
    <xf borderId="11" fillId="6" fontId="1" numFmtId="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shrinkToFit="0" vertical="center" wrapText="1"/>
    </xf>
    <xf borderId="1" fillId="4" fontId="1" numFmtId="164" xfId="0" applyAlignment="1" applyBorder="1" applyFont="1" applyNumberFormat="1">
      <alignment horizontal="center" vertical="center"/>
    </xf>
    <xf borderId="1" fillId="4" fontId="1" numFmtId="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shrinkToFit="0" vertical="center" wrapText="1"/>
    </xf>
    <xf borderId="1" fillId="4" fontId="1" numFmtId="164" xfId="0" applyAlignment="1" applyBorder="1" applyFont="1" applyNumberFormat="1">
      <alignment vertical="center"/>
    </xf>
    <xf borderId="1" fillId="4" fontId="1" numFmtId="4" xfId="0" applyAlignment="1" applyBorder="1" applyFont="1" applyNumberFormat="1">
      <alignment vertical="center"/>
    </xf>
    <xf borderId="2" fillId="2" fontId="2" numFmtId="165" xfId="0" applyAlignment="1" applyBorder="1" applyFont="1" applyNumberFormat="1">
      <alignment vertical="center"/>
    </xf>
    <xf borderId="1" fillId="5" fontId="2" numFmtId="0" xfId="0" applyAlignment="1" applyBorder="1" applyFont="1">
      <alignment horizontal="center"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6" fillId="7" fontId="1" numFmtId="0" xfId="0" applyAlignment="1" applyBorder="1" applyFont="1">
      <alignment horizontal="center" vertical="center"/>
    </xf>
    <xf borderId="6" fillId="7" fontId="1" numFmtId="0" xfId="0" applyAlignment="1" applyBorder="1" applyFont="1">
      <alignment horizontal="center" shrinkToFit="0" vertical="center" wrapText="1"/>
    </xf>
    <xf borderId="6" fillId="7" fontId="1" numFmtId="14" xfId="0" applyAlignment="1" applyBorder="1" applyFont="1" applyNumberFormat="1">
      <alignment horizontal="center" vertical="center"/>
    </xf>
    <xf borderId="6" fillId="2" fontId="1" numFmtId="0" xfId="0" applyAlignment="1" applyBorder="1" applyFont="1">
      <alignment horizontal="center" vertical="center"/>
    </xf>
    <xf borderId="4" fillId="2" fontId="1" numFmtId="14" xfId="0" applyAlignment="1" applyBorder="1" applyFont="1" applyNumberFormat="1">
      <alignment horizontal="center" vertical="center"/>
    </xf>
    <xf borderId="7" fillId="6" fontId="1" numFmtId="165" xfId="0" applyAlignment="1" applyBorder="1" applyFont="1" applyNumberFormat="1">
      <alignment vertical="center"/>
    </xf>
    <xf borderId="8" fillId="6" fontId="1" numFmtId="165" xfId="0" applyAlignment="1" applyBorder="1" applyFont="1" applyNumberFormat="1">
      <alignment vertical="center"/>
    </xf>
    <xf borderId="5" fillId="6" fontId="1" numFmtId="165" xfId="0" applyAlignment="1" applyBorder="1" applyFont="1" applyNumberFormat="1">
      <alignment vertical="center"/>
    </xf>
    <xf borderId="9" fillId="7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6" fontId="1" numFmtId="165" xfId="0" applyAlignment="1" applyBorder="1" applyFont="1" applyNumberFormat="1">
      <alignment vertical="center"/>
    </xf>
    <xf borderId="7" fillId="7" fontId="1" numFmtId="0" xfId="0" applyAlignment="1" applyBorder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7" fillId="7" fontId="1" numFmtId="0" xfId="0" applyAlignment="1" applyBorder="1" applyFont="1">
      <alignment horizontal="center" shrinkToFit="0" vertical="center" wrapText="1"/>
    </xf>
    <xf borderId="9" fillId="7" fontId="1" numFmtId="0" xfId="0" applyAlignment="1" applyBorder="1" applyFont="1">
      <alignment horizontal="center" shrinkToFit="0" vertical="center" wrapText="1"/>
    </xf>
    <xf borderId="11" fillId="6" fontId="1" numFmtId="165" xfId="0" applyAlignment="1" applyBorder="1" applyFont="1" applyNumberFormat="1">
      <alignment vertical="center"/>
    </xf>
    <xf borderId="0" fillId="0" fontId="1" numFmtId="0" xfId="0" applyFont="1"/>
    <xf borderId="0" fillId="0" fontId="10" numFmtId="0" xfId="0" applyFont="1"/>
    <xf borderId="0" fillId="0" fontId="11" numFmtId="0" xfId="0" applyFont="1"/>
    <xf borderId="0" fillId="0" fontId="1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3">
    <tableStyle count="3" pivot="0" name="Flight-style">
      <tableStyleElement dxfId="1" type="headerRow"/>
      <tableStyleElement dxfId="2" type="firstRowStripe"/>
      <tableStyleElement dxfId="3" type="secondRowStripe"/>
    </tableStyle>
    <tableStyle count="3" pivot="0" name="Accomodation-style">
      <tableStyleElement dxfId="1" type="headerRow"/>
      <tableStyleElement dxfId="2" type="firstRowStripe"/>
      <tableStyleElement dxfId="3" type="secondRowStripe"/>
    </tableStyle>
    <tableStyle count="3" pivot="0" name="DD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95250</xdr:colOff>
      <xdr:row>15</xdr:row>
      <xdr:rowOff>76200</xdr:rowOff>
    </xdr:from>
    <xdr:ext cx="2952750" cy="762000"/>
    <xdr:sp>
      <xdr:nvSpPr>
        <xdr:cNvPr id="3" name="Shape 3"/>
        <xdr:cNvSpPr txBox="1"/>
      </xdr:nvSpPr>
      <xdr:spPr>
        <a:xfrm>
          <a:off x="3869625" y="3403763"/>
          <a:ext cx="2952750" cy="75247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This is the total GHG</a:t>
          </a:r>
          <a:r>
            <a:rPr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 Emissions for the whole flight. </a:t>
          </a:r>
          <a:endParaRPr sz="16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16</xdr:col>
      <xdr:colOff>476250</xdr:colOff>
      <xdr:row>18</xdr:row>
      <xdr:rowOff>19050</xdr:rowOff>
    </xdr:from>
    <xdr:ext cx="457200" cy="504825"/>
    <xdr:sp>
      <xdr:nvSpPr>
        <xdr:cNvPr id="4" name="Shape 4"/>
        <xdr:cNvSpPr/>
      </xdr:nvSpPr>
      <xdr:spPr>
        <a:xfrm>
          <a:off x="5122163" y="3527588"/>
          <a:ext cx="447675" cy="504825"/>
        </a:xfrm>
        <a:prstGeom prst="downArrow">
          <a:avLst>
            <a:gd fmla="val 50000" name="adj1"/>
            <a:gd fmla="val 50000" name="adj2"/>
          </a:avLst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9116675" cy="9001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pcuser/Documents/ShareCSD/Greenhouse%20Gas%20(GHG)%20Emissions%20Calculato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"/>
      <sheetName val="Electricity"/>
      <sheetName val="Water"/>
      <sheetName val="Fuel"/>
      <sheetName val="Business Travel - Land and Sea"/>
      <sheetName val="Waste Disposal"/>
      <sheetName val="Flight and Accomodation"/>
      <sheetName val="D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ref="B6:N100" displayName="Table_1" name="Table_1" id="1">
  <tableColumns count="13">
    <tableColumn name="Campus" id="1"/>
    <tableColumn name="Office/Department" id="2"/>
    <tableColumn name="Year" id="3"/>
    <tableColumn name="Name of Traveller" id="4"/>
    <tableColumn name="Event Name/Purpose of Travel" id="5"/>
    <tableColumn name="Travel Date_x000a_(mm/dd/yyyy)" id="6"/>
    <tableColumn name="Domestic/ International" id="7"/>
    <tableColumn name="Origin (city or IATA code)" id="8"/>
    <tableColumn name="Destination (city or IATA code)" id="9"/>
    <tableColumn name="Class" id="10"/>
    <tableColumn name="One Way / Round Trip" id="11"/>
    <tableColumn name="kg CO2e" id="12"/>
    <tableColumn name="t CO2e" id="13"/>
  </tableColumns>
  <tableStyleInfo name="Flight-style" showColumnStripes="0" showFirstColumn="1" showLastColumn="1" showRowStripes="1"/>
</table>
</file>

<file path=xl/tables/table2.xml><?xml version="1.0" encoding="utf-8"?>
<table xmlns="http://schemas.openxmlformats.org/spreadsheetml/2006/main" ref="B6:O100" displayName="Table_2" name="Table_2" id="2">
  <tableColumns count="14">
    <tableColumn name="Campus" id="1"/>
    <tableColumn name="Office/Department" id="2"/>
    <tableColumn name="Year" id="3"/>
    <tableColumn name="Name of Traveller" id="4"/>
    <tableColumn name="Event Name/Purpose of Travel" id="5"/>
    <tableColumn name="Travel Date_x000a_(mm/dd/yyyy) From" id="6"/>
    <tableColumn name="Travel Date_x000a_(mm/dd/yyyy) To" id="7"/>
    <tableColumn name="Country" id="8"/>
    <tableColumn name="Local/ International" id="9"/>
    <tableColumn name="No. of Occupied Rooms" id="10"/>
    <tableColumn name="No. of Nights per room" id="11"/>
    <tableColumn name="Factor" id="12"/>
    <tableColumn name="kg CO2 -e" id="13"/>
    <tableColumn name="t CO2 -e" id="14"/>
  </tableColumns>
  <tableStyleInfo name="Accomodation-style" showColumnStripes="0" showFirstColumn="1" showLastColumn="1" showRowStripes="1"/>
</table>
</file>

<file path=xl/tables/table3.xml><?xml version="1.0" encoding="utf-8"?>
<table xmlns="http://schemas.openxmlformats.org/spreadsheetml/2006/main" ref="F1:F241" displayName="Table_3" name="Table_3" id="3">
  <tableColumns count="1">
    <tableColumn name="COUNTRY" id="1"/>
  </tableColumns>
  <tableStyleInfo name="D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lications.icao.int/icec/Home/Inde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lications.icao.int/icec/Home/Index" TargetMode="External"/><Relationship Id="rId2" Type="http://schemas.openxmlformats.org/officeDocument/2006/relationships/hyperlink" Target="https://applications.icao.int/icec/Home/Index" TargetMode="External"/><Relationship Id="rId3" Type="http://schemas.openxmlformats.org/officeDocument/2006/relationships/hyperlink" Target="https://applications.icao.int/icec/Home/Index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9.13"/>
    <col customWidth="1" min="5" max="5" width="4.88"/>
    <col customWidth="1" min="6" max="12" width="9.13"/>
    <col customWidth="1" min="13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 t="s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">
        <v>6</v>
      </c>
      <c r="C13" s="1"/>
      <c r="D13" s="1"/>
      <c r="E13" s="1"/>
      <c r="F13" s="4" t="s">
        <v>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" t="s">
        <v>11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" t="s">
        <v>12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" t="s">
        <v>13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" t="s">
        <v>14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F13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0"/>
    <col customWidth="1" min="2" max="2" width="19.25"/>
    <col customWidth="1" min="3" max="3" width="31.63"/>
    <col customWidth="1" min="4" max="4" width="7.25"/>
    <col customWidth="1" min="5" max="5" width="34.0"/>
    <col customWidth="1" min="6" max="6" width="37.0"/>
    <col customWidth="1" min="7" max="8" width="14.38"/>
    <col customWidth="1" min="9" max="9" width="11.38"/>
    <col customWidth="1" min="10" max="10" width="12.38"/>
    <col customWidth="1" min="11" max="11" width="16.88"/>
    <col customWidth="1" min="12" max="12" width="18.13"/>
    <col customWidth="1" min="13" max="13" width="13.75"/>
    <col customWidth="1" min="14" max="14" width="9.13"/>
    <col customWidth="1" min="15" max="26" width="8.63"/>
  </cols>
  <sheetData>
    <row r="1">
      <c r="A1" s="8"/>
      <c r="B1" s="9" t="s">
        <v>15</v>
      </c>
      <c r="C1" s="10"/>
      <c r="D1" s="10"/>
      <c r="E1" s="10"/>
      <c r="F1" s="10"/>
      <c r="G1" s="11"/>
      <c r="H1" s="12" t="s">
        <v>16</v>
      </c>
      <c r="I1" s="13" t="s">
        <v>7</v>
      </c>
      <c r="J1" s="14"/>
      <c r="K1" s="8"/>
      <c r="L1" s="8"/>
      <c r="M1" s="15"/>
      <c r="N1" s="15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9"/>
      <c r="C2" s="10"/>
      <c r="D2" s="10"/>
      <c r="E2" s="10"/>
      <c r="F2" s="10"/>
      <c r="G2" s="11"/>
      <c r="H2" s="11"/>
      <c r="I2" s="12" t="s">
        <v>17</v>
      </c>
      <c r="J2" s="16"/>
      <c r="K2" s="8"/>
      <c r="L2" s="8"/>
      <c r="M2" s="15"/>
      <c r="N2" s="1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9" t="s">
        <v>18</v>
      </c>
      <c r="C3" s="10"/>
      <c r="D3" s="10"/>
      <c r="E3" s="10"/>
      <c r="F3" s="10"/>
      <c r="G3" s="11"/>
      <c r="H3" s="11"/>
      <c r="I3" s="12" t="s">
        <v>19</v>
      </c>
      <c r="J3" s="16"/>
      <c r="K3" s="8"/>
      <c r="L3" s="8"/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 t="s">
        <v>20</v>
      </c>
      <c r="C4" s="17"/>
      <c r="D4" s="17"/>
      <c r="E4" s="17"/>
      <c r="F4" s="17"/>
      <c r="G4" s="11"/>
      <c r="H4" s="11"/>
      <c r="I4" s="12"/>
      <c r="J4" s="16"/>
      <c r="K4" s="8"/>
      <c r="L4" s="8"/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6.25" customHeight="1">
      <c r="A5" s="8"/>
      <c r="B5" s="8"/>
      <c r="C5" s="17"/>
      <c r="D5" s="17"/>
      <c r="E5" s="17"/>
      <c r="F5" s="17"/>
      <c r="G5" s="11"/>
      <c r="H5" s="11"/>
      <c r="I5" s="8"/>
      <c r="J5" s="14"/>
      <c r="K5" s="8"/>
      <c r="L5" s="8"/>
      <c r="M5" s="18">
        <f>SUM(Flight!$M$7:$M$100)</f>
        <v>5412.6</v>
      </c>
      <c r="N5" s="19" t="str">
        <f>SUM(Flight!$N$7:$N$100)</f>
        <v>#REF!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0"/>
      <c r="B6" s="21" t="s">
        <v>21</v>
      </c>
      <c r="C6" s="22" t="s">
        <v>22</v>
      </c>
      <c r="D6" s="22" t="s">
        <v>23</v>
      </c>
      <c r="E6" s="22" t="s">
        <v>24</v>
      </c>
      <c r="F6" s="22" t="s">
        <v>25</v>
      </c>
      <c r="G6" s="22" t="s">
        <v>26</v>
      </c>
      <c r="H6" s="22" t="s">
        <v>27</v>
      </c>
      <c r="I6" s="23" t="s">
        <v>28</v>
      </c>
      <c r="J6" s="24" t="s">
        <v>29</v>
      </c>
      <c r="K6" s="21" t="s">
        <v>30</v>
      </c>
      <c r="L6" s="21" t="s">
        <v>31</v>
      </c>
      <c r="M6" s="25" t="s">
        <v>32</v>
      </c>
      <c r="N6" s="25" t="s">
        <v>33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6"/>
      <c r="B7" s="27" t="s">
        <v>34</v>
      </c>
      <c r="C7" s="27" t="s">
        <v>35</v>
      </c>
      <c r="D7" s="27">
        <v>2022.0</v>
      </c>
      <c r="E7" s="27" t="s">
        <v>36</v>
      </c>
      <c r="F7" s="27" t="s">
        <v>37</v>
      </c>
      <c r="G7" s="28">
        <v>45140.0</v>
      </c>
      <c r="H7" s="28" t="s">
        <v>38</v>
      </c>
      <c r="I7" s="29" t="s">
        <v>39</v>
      </c>
      <c r="J7" s="30" t="s">
        <v>40</v>
      </c>
      <c r="K7" s="30" t="s">
        <v>41</v>
      </c>
      <c r="L7" s="30" t="s">
        <v>42</v>
      </c>
      <c r="M7" s="31">
        <v>118.6</v>
      </c>
      <c r="N7" s="32">
        <f t="shared" ref="N7:N62" si="1">IF(M7="","",M7/1000)</f>
        <v>0.1186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29"/>
      <c r="C8" s="29"/>
      <c r="D8" s="29"/>
      <c r="E8" s="29"/>
      <c r="F8" s="29"/>
      <c r="G8" s="33"/>
      <c r="H8" s="33"/>
      <c r="I8" s="29"/>
      <c r="J8" s="30"/>
      <c r="K8" s="30"/>
      <c r="L8" s="30"/>
      <c r="M8" s="34">
        <v>5294.0</v>
      </c>
      <c r="N8" s="35">
        <f t="shared" si="1"/>
        <v>5.294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9"/>
      <c r="C9" s="29"/>
      <c r="D9" s="29"/>
      <c r="E9" s="29"/>
      <c r="F9" s="29"/>
      <c r="G9" s="33"/>
      <c r="H9" s="33"/>
      <c r="I9" s="29"/>
      <c r="J9" s="30"/>
      <c r="K9" s="30"/>
      <c r="L9" s="30"/>
      <c r="M9" s="36"/>
      <c r="N9" s="35" t="str">
        <f t="shared" si="1"/>
        <v/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29"/>
      <c r="C10" s="29"/>
      <c r="D10" s="29"/>
      <c r="E10" s="29"/>
      <c r="F10" s="29"/>
      <c r="G10" s="33"/>
      <c r="H10" s="33"/>
      <c r="I10" s="29"/>
      <c r="J10" s="30"/>
      <c r="K10" s="30"/>
      <c r="L10" s="30"/>
      <c r="M10" s="36"/>
      <c r="N10" s="35" t="str">
        <f t="shared" si="1"/>
        <v/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9"/>
      <c r="C11" s="29"/>
      <c r="D11" s="29"/>
      <c r="E11" s="29"/>
      <c r="F11" s="29"/>
      <c r="G11" s="33"/>
      <c r="H11" s="37" t="s">
        <v>38</v>
      </c>
      <c r="I11" s="29"/>
      <c r="J11" s="30"/>
      <c r="K11" s="30"/>
      <c r="L11" s="30"/>
      <c r="M11" s="34"/>
      <c r="N11" s="35" t="str">
        <f t="shared" si="1"/>
        <v/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9"/>
      <c r="C12" s="29"/>
      <c r="D12" s="29"/>
      <c r="E12" s="29"/>
      <c r="F12" s="29"/>
      <c r="G12" s="33"/>
      <c r="H12" s="33"/>
      <c r="I12" s="29"/>
      <c r="J12" s="30"/>
      <c r="K12" s="30"/>
      <c r="L12" s="30"/>
      <c r="M12" s="36"/>
      <c r="N12" s="35" t="str">
        <f t="shared" si="1"/>
        <v/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9"/>
      <c r="C13" s="29"/>
      <c r="D13" s="29"/>
      <c r="E13" s="29"/>
      <c r="F13" s="29"/>
      <c r="G13" s="33"/>
      <c r="H13" s="33"/>
      <c r="I13" s="29"/>
      <c r="J13" s="30"/>
      <c r="K13" s="30"/>
      <c r="L13" s="30"/>
      <c r="M13" s="36"/>
      <c r="N13" s="35" t="str">
        <f t="shared" si="1"/>
        <v/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9"/>
      <c r="C14" s="29"/>
      <c r="D14" s="29"/>
      <c r="E14" s="29"/>
      <c r="F14" s="29"/>
      <c r="G14" s="33"/>
      <c r="H14" s="33"/>
      <c r="I14" s="29"/>
      <c r="J14" s="30"/>
      <c r="K14" s="30"/>
      <c r="L14" s="30"/>
      <c r="M14" s="36"/>
      <c r="N14" s="35" t="str">
        <f t="shared" si="1"/>
        <v/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9"/>
      <c r="C15" s="29"/>
      <c r="D15" s="29"/>
      <c r="E15" s="29"/>
      <c r="F15" s="29"/>
      <c r="G15" s="33"/>
      <c r="H15" s="33"/>
      <c r="I15" s="29"/>
      <c r="J15" s="30"/>
      <c r="K15" s="30"/>
      <c r="L15" s="30"/>
      <c r="M15" s="36"/>
      <c r="N15" s="35" t="str">
        <f t="shared" si="1"/>
        <v/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9"/>
      <c r="C16" s="29"/>
      <c r="D16" s="29"/>
      <c r="E16" s="29"/>
      <c r="F16" s="29"/>
      <c r="G16" s="33"/>
      <c r="H16" s="33"/>
      <c r="I16" s="29"/>
      <c r="J16" s="30"/>
      <c r="K16" s="30"/>
      <c r="L16" s="30"/>
      <c r="M16" s="36"/>
      <c r="N16" s="35" t="str">
        <f t="shared" si="1"/>
        <v/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9"/>
      <c r="C17" s="29"/>
      <c r="D17" s="29"/>
      <c r="E17" s="29"/>
      <c r="F17" s="29"/>
      <c r="G17" s="33"/>
      <c r="H17" s="33"/>
      <c r="I17" s="29"/>
      <c r="J17" s="30"/>
      <c r="K17" s="30"/>
      <c r="L17" s="30"/>
      <c r="M17" s="36"/>
      <c r="N17" s="35" t="str">
        <f t="shared" si="1"/>
        <v/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9"/>
      <c r="C18" s="29"/>
      <c r="D18" s="29"/>
      <c r="E18" s="29"/>
      <c r="F18" s="29"/>
      <c r="G18" s="33"/>
      <c r="H18" s="33"/>
      <c r="I18" s="29"/>
      <c r="J18" s="30"/>
      <c r="K18" s="30"/>
      <c r="L18" s="30"/>
      <c r="M18" s="36"/>
      <c r="N18" s="35" t="str">
        <f t="shared" si="1"/>
        <v/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9"/>
      <c r="C19" s="29"/>
      <c r="D19" s="29"/>
      <c r="E19" s="29"/>
      <c r="F19" s="29"/>
      <c r="G19" s="33"/>
      <c r="H19" s="33"/>
      <c r="I19" s="29"/>
      <c r="J19" s="30"/>
      <c r="K19" s="30"/>
      <c r="L19" s="30"/>
      <c r="M19" s="36"/>
      <c r="N19" s="35" t="str">
        <f t="shared" si="1"/>
        <v/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9"/>
      <c r="C20" s="29"/>
      <c r="D20" s="29"/>
      <c r="E20" s="29"/>
      <c r="F20" s="29"/>
      <c r="G20" s="33"/>
      <c r="H20" s="33"/>
      <c r="I20" s="29"/>
      <c r="J20" s="30"/>
      <c r="K20" s="30"/>
      <c r="L20" s="30"/>
      <c r="M20" s="36"/>
      <c r="N20" s="35" t="str">
        <f t="shared" si="1"/>
        <v/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9"/>
      <c r="C21" s="29"/>
      <c r="D21" s="29"/>
      <c r="E21" s="29"/>
      <c r="F21" s="29"/>
      <c r="G21" s="33"/>
      <c r="H21" s="33"/>
      <c r="I21" s="29"/>
      <c r="J21" s="30"/>
      <c r="K21" s="30"/>
      <c r="L21" s="30"/>
      <c r="M21" s="36"/>
      <c r="N21" s="35" t="str">
        <f t="shared" si="1"/>
        <v/>
      </c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9"/>
      <c r="C22" s="29"/>
      <c r="D22" s="29"/>
      <c r="E22" s="29"/>
      <c r="F22" s="29"/>
      <c r="G22" s="33"/>
      <c r="H22" s="33"/>
      <c r="I22" s="29"/>
      <c r="J22" s="30"/>
      <c r="K22" s="30"/>
      <c r="L22" s="30"/>
      <c r="M22" s="36"/>
      <c r="N22" s="35" t="str">
        <f t="shared" si="1"/>
        <v/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29"/>
      <c r="C23" s="29"/>
      <c r="D23" s="29"/>
      <c r="E23" s="29"/>
      <c r="F23" s="29"/>
      <c r="G23" s="33"/>
      <c r="H23" s="33"/>
      <c r="I23" s="29"/>
      <c r="J23" s="30"/>
      <c r="K23" s="30"/>
      <c r="L23" s="30"/>
      <c r="M23" s="36"/>
      <c r="N23" s="35" t="str">
        <f t="shared" si="1"/>
        <v/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9"/>
      <c r="C24" s="29"/>
      <c r="D24" s="29"/>
      <c r="E24" s="29"/>
      <c r="F24" s="29"/>
      <c r="G24" s="33"/>
      <c r="H24" s="33"/>
      <c r="I24" s="29"/>
      <c r="J24" s="30"/>
      <c r="K24" s="30"/>
      <c r="L24" s="30"/>
      <c r="M24" s="36"/>
      <c r="N24" s="35" t="str">
        <f t="shared" si="1"/>
        <v/>
      </c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29"/>
      <c r="C25" s="29"/>
      <c r="D25" s="29"/>
      <c r="E25" s="29"/>
      <c r="F25" s="29"/>
      <c r="G25" s="33"/>
      <c r="H25" s="33"/>
      <c r="I25" s="29"/>
      <c r="J25" s="30"/>
      <c r="K25" s="30"/>
      <c r="L25" s="30"/>
      <c r="M25" s="36"/>
      <c r="N25" s="35" t="str">
        <f t="shared" si="1"/>
        <v/>
      </c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29"/>
      <c r="C26" s="29"/>
      <c r="D26" s="29"/>
      <c r="E26" s="29"/>
      <c r="F26" s="29"/>
      <c r="G26" s="33"/>
      <c r="H26" s="33"/>
      <c r="I26" s="29"/>
      <c r="J26" s="30"/>
      <c r="K26" s="30"/>
      <c r="L26" s="30"/>
      <c r="M26" s="36"/>
      <c r="N26" s="35" t="str">
        <f t="shared" si="1"/>
        <v/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29"/>
      <c r="C27" s="29"/>
      <c r="D27" s="29"/>
      <c r="E27" s="29"/>
      <c r="F27" s="29"/>
      <c r="G27" s="33"/>
      <c r="H27" s="33"/>
      <c r="I27" s="29"/>
      <c r="J27" s="30"/>
      <c r="K27" s="30"/>
      <c r="L27" s="30"/>
      <c r="M27" s="36"/>
      <c r="N27" s="35" t="str">
        <f t="shared" si="1"/>
        <v/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9"/>
      <c r="C28" s="29"/>
      <c r="D28" s="29"/>
      <c r="E28" s="29"/>
      <c r="F28" s="29"/>
      <c r="G28" s="33"/>
      <c r="H28" s="33"/>
      <c r="I28" s="29"/>
      <c r="J28" s="30"/>
      <c r="K28" s="30"/>
      <c r="L28" s="30"/>
      <c r="M28" s="36"/>
      <c r="N28" s="35" t="str">
        <f t="shared" si="1"/>
        <v/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9"/>
      <c r="C29" s="29"/>
      <c r="D29" s="29"/>
      <c r="E29" s="29"/>
      <c r="F29" s="29"/>
      <c r="G29" s="33"/>
      <c r="H29" s="33"/>
      <c r="I29" s="29"/>
      <c r="J29" s="30"/>
      <c r="K29" s="30"/>
      <c r="L29" s="30"/>
      <c r="M29" s="36"/>
      <c r="N29" s="35" t="str">
        <f t="shared" si="1"/>
        <v/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9"/>
      <c r="C30" s="29"/>
      <c r="D30" s="29"/>
      <c r="E30" s="29"/>
      <c r="F30" s="29"/>
      <c r="G30" s="33"/>
      <c r="H30" s="33"/>
      <c r="I30" s="29"/>
      <c r="J30" s="30"/>
      <c r="K30" s="30"/>
      <c r="L30" s="30"/>
      <c r="M30" s="36"/>
      <c r="N30" s="35" t="str">
        <f t="shared" si="1"/>
        <v/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9"/>
      <c r="C31" s="29"/>
      <c r="D31" s="29"/>
      <c r="E31" s="29"/>
      <c r="F31" s="29"/>
      <c r="G31" s="33"/>
      <c r="H31" s="33"/>
      <c r="I31" s="29"/>
      <c r="J31" s="30"/>
      <c r="K31" s="30"/>
      <c r="L31" s="30"/>
      <c r="M31" s="36"/>
      <c r="N31" s="35" t="str">
        <f t="shared" si="1"/>
        <v/>
      </c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9"/>
      <c r="C32" s="29"/>
      <c r="D32" s="29"/>
      <c r="E32" s="29"/>
      <c r="F32" s="29"/>
      <c r="G32" s="33"/>
      <c r="H32" s="33"/>
      <c r="I32" s="29"/>
      <c r="J32" s="30"/>
      <c r="K32" s="30"/>
      <c r="L32" s="30"/>
      <c r="M32" s="36"/>
      <c r="N32" s="35" t="str">
        <f t="shared" si="1"/>
        <v/>
      </c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9"/>
      <c r="C33" s="29"/>
      <c r="D33" s="29"/>
      <c r="E33" s="29"/>
      <c r="F33" s="29"/>
      <c r="G33" s="33"/>
      <c r="H33" s="33"/>
      <c r="I33" s="29"/>
      <c r="J33" s="30"/>
      <c r="K33" s="30"/>
      <c r="L33" s="30"/>
      <c r="M33" s="36"/>
      <c r="N33" s="35" t="str">
        <f t="shared" si="1"/>
        <v/>
      </c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9"/>
      <c r="C34" s="29"/>
      <c r="D34" s="29"/>
      <c r="E34" s="29"/>
      <c r="F34" s="29"/>
      <c r="G34" s="33"/>
      <c r="H34" s="33"/>
      <c r="I34" s="29"/>
      <c r="J34" s="30"/>
      <c r="K34" s="30"/>
      <c r="L34" s="30"/>
      <c r="M34" s="36"/>
      <c r="N34" s="35" t="str">
        <f t="shared" si="1"/>
        <v/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9"/>
      <c r="C35" s="38"/>
      <c r="D35" s="38"/>
      <c r="E35" s="38"/>
      <c r="F35" s="38"/>
      <c r="G35" s="39"/>
      <c r="H35" s="39"/>
      <c r="I35" s="38"/>
      <c r="J35" s="40"/>
      <c r="K35" s="40"/>
      <c r="L35" s="40"/>
      <c r="M35" s="36"/>
      <c r="N35" s="35" t="str">
        <f t="shared" si="1"/>
        <v/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9"/>
      <c r="C36" s="38"/>
      <c r="D36" s="38"/>
      <c r="E36" s="38"/>
      <c r="F36" s="38"/>
      <c r="G36" s="39"/>
      <c r="H36" s="39"/>
      <c r="I36" s="38"/>
      <c r="J36" s="40"/>
      <c r="K36" s="40"/>
      <c r="L36" s="40"/>
      <c r="M36" s="36"/>
      <c r="N36" s="35" t="str">
        <f t="shared" si="1"/>
        <v/>
      </c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29"/>
      <c r="C37" s="38"/>
      <c r="D37" s="38"/>
      <c r="E37" s="38"/>
      <c r="F37" s="38"/>
      <c r="G37" s="39"/>
      <c r="H37" s="39"/>
      <c r="I37" s="38"/>
      <c r="J37" s="40"/>
      <c r="K37" s="40"/>
      <c r="L37" s="40"/>
      <c r="M37" s="36"/>
      <c r="N37" s="35" t="str">
        <f t="shared" si="1"/>
        <v/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9"/>
      <c r="C38" s="38"/>
      <c r="D38" s="38"/>
      <c r="E38" s="38"/>
      <c r="F38" s="38"/>
      <c r="G38" s="39"/>
      <c r="H38" s="39"/>
      <c r="I38" s="38"/>
      <c r="J38" s="40"/>
      <c r="K38" s="40"/>
      <c r="L38" s="40"/>
      <c r="M38" s="36"/>
      <c r="N38" s="35" t="str">
        <f t="shared" si="1"/>
        <v/>
      </c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9"/>
      <c r="C39" s="38"/>
      <c r="D39" s="38"/>
      <c r="E39" s="38"/>
      <c r="F39" s="38"/>
      <c r="G39" s="39"/>
      <c r="H39" s="39"/>
      <c r="I39" s="38"/>
      <c r="J39" s="40"/>
      <c r="K39" s="40"/>
      <c r="L39" s="40"/>
      <c r="M39" s="36"/>
      <c r="N39" s="35" t="str">
        <f t="shared" si="1"/>
        <v/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9"/>
      <c r="C40" s="38"/>
      <c r="D40" s="38"/>
      <c r="E40" s="38"/>
      <c r="F40" s="38"/>
      <c r="G40" s="39"/>
      <c r="H40" s="39"/>
      <c r="I40" s="38"/>
      <c r="J40" s="40"/>
      <c r="K40" s="40"/>
      <c r="L40" s="40"/>
      <c r="M40" s="36"/>
      <c r="N40" s="35" t="str">
        <f t="shared" si="1"/>
        <v/>
      </c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9"/>
      <c r="C41" s="38"/>
      <c r="D41" s="38"/>
      <c r="E41" s="38"/>
      <c r="F41" s="38"/>
      <c r="G41" s="39"/>
      <c r="H41" s="39"/>
      <c r="I41" s="38"/>
      <c r="J41" s="40"/>
      <c r="K41" s="40"/>
      <c r="L41" s="40"/>
      <c r="M41" s="36"/>
      <c r="N41" s="35" t="str">
        <f t="shared" si="1"/>
        <v/>
      </c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9"/>
      <c r="C42" s="38"/>
      <c r="D42" s="38"/>
      <c r="E42" s="38"/>
      <c r="F42" s="38"/>
      <c r="G42" s="39"/>
      <c r="H42" s="39"/>
      <c r="I42" s="38"/>
      <c r="J42" s="40"/>
      <c r="K42" s="40"/>
      <c r="L42" s="40"/>
      <c r="M42" s="36"/>
      <c r="N42" s="35" t="str">
        <f t="shared" si="1"/>
        <v/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9"/>
      <c r="C43" s="38"/>
      <c r="D43" s="38"/>
      <c r="E43" s="38"/>
      <c r="F43" s="38"/>
      <c r="G43" s="39"/>
      <c r="H43" s="39"/>
      <c r="I43" s="38"/>
      <c r="J43" s="40"/>
      <c r="K43" s="40"/>
      <c r="L43" s="40"/>
      <c r="M43" s="36"/>
      <c r="N43" s="35" t="str">
        <f t="shared" si="1"/>
        <v/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9"/>
      <c r="C44" s="38"/>
      <c r="D44" s="38"/>
      <c r="E44" s="38"/>
      <c r="F44" s="38"/>
      <c r="G44" s="39"/>
      <c r="H44" s="39"/>
      <c r="I44" s="38"/>
      <c r="J44" s="40"/>
      <c r="K44" s="40"/>
      <c r="L44" s="40"/>
      <c r="M44" s="36"/>
      <c r="N44" s="35" t="str">
        <f t="shared" si="1"/>
        <v/>
      </c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9"/>
      <c r="C45" s="38"/>
      <c r="D45" s="38"/>
      <c r="E45" s="38"/>
      <c r="F45" s="38"/>
      <c r="G45" s="39"/>
      <c r="H45" s="39"/>
      <c r="I45" s="38"/>
      <c r="J45" s="40"/>
      <c r="K45" s="40"/>
      <c r="L45" s="40"/>
      <c r="M45" s="36"/>
      <c r="N45" s="35" t="str">
        <f t="shared" si="1"/>
        <v/>
      </c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9"/>
      <c r="C46" s="38"/>
      <c r="D46" s="38"/>
      <c r="E46" s="38"/>
      <c r="F46" s="38"/>
      <c r="G46" s="39"/>
      <c r="H46" s="39"/>
      <c r="I46" s="38"/>
      <c r="J46" s="40"/>
      <c r="K46" s="40"/>
      <c r="L46" s="40"/>
      <c r="M46" s="36"/>
      <c r="N46" s="35" t="str">
        <f t="shared" si="1"/>
        <v/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9"/>
      <c r="C47" s="38"/>
      <c r="D47" s="38"/>
      <c r="E47" s="38"/>
      <c r="F47" s="38"/>
      <c r="G47" s="39"/>
      <c r="H47" s="39"/>
      <c r="I47" s="38"/>
      <c r="J47" s="40"/>
      <c r="K47" s="40"/>
      <c r="L47" s="40"/>
      <c r="M47" s="36"/>
      <c r="N47" s="35" t="str">
        <f t="shared" si="1"/>
        <v/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9"/>
      <c r="C48" s="38"/>
      <c r="D48" s="38"/>
      <c r="E48" s="38"/>
      <c r="F48" s="38"/>
      <c r="G48" s="39"/>
      <c r="H48" s="39"/>
      <c r="I48" s="38"/>
      <c r="J48" s="40"/>
      <c r="K48" s="40"/>
      <c r="L48" s="40"/>
      <c r="M48" s="36"/>
      <c r="N48" s="35" t="str">
        <f t="shared" si="1"/>
        <v/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9"/>
      <c r="C49" s="38"/>
      <c r="D49" s="38"/>
      <c r="E49" s="38"/>
      <c r="F49" s="38"/>
      <c r="G49" s="39"/>
      <c r="H49" s="39"/>
      <c r="I49" s="38"/>
      <c r="J49" s="40"/>
      <c r="K49" s="40"/>
      <c r="L49" s="40"/>
      <c r="M49" s="36"/>
      <c r="N49" s="35" t="str">
        <f t="shared" si="1"/>
        <v/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9"/>
      <c r="C50" s="38"/>
      <c r="D50" s="38"/>
      <c r="E50" s="38"/>
      <c r="F50" s="38"/>
      <c r="G50" s="39"/>
      <c r="H50" s="39"/>
      <c r="I50" s="38"/>
      <c r="J50" s="40"/>
      <c r="K50" s="40"/>
      <c r="L50" s="40"/>
      <c r="M50" s="36"/>
      <c r="N50" s="35" t="str">
        <f t="shared" si="1"/>
        <v/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9"/>
      <c r="C51" s="38"/>
      <c r="D51" s="38"/>
      <c r="E51" s="38"/>
      <c r="F51" s="38"/>
      <c r="G51" s="39"/>
      <c r="H51" s="39"/>
      <c r="I51" s="38"/>
      <c r="J51" s="40"/>
      <c r="K51" s="40"/>
      <c r="L51" s="40"/>
      <c r="M51" s="36"/>
      <c r="N51" s="35" t="str">
        <f t="shared" si="1"/>
        <v/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9"/>
      <c r="C52" s="38"/>
      <c r="D52" s="38"/>
      <c r="E52" s="38"/>
      <c r="F52" s="38"/>
      <c r="G52" s="39"/>
      <c r="H52" s="39"/>
      <c r="I52" s="38"/>
      <c r="J52" s="40"/>
      <c r="K52" s="40"/>
      <c r="L52" s="40"/>
      <c r="M52" s="36"/>
      <c r="N52" s="35" t="str">
        <f t="shared" si="1"/>
        <v/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9"/>
      <c r="C53" s="38"/>
      <c r="D53" s="38"/>
      <c r="E53" s="38"/>
      <c r="F53" s="38"/>
      <c r="G53" s="39"/>
      <c r="H53" s="39"/>
      <c r="I53" s="38"/>
      <c r="J53" s="40"/>
      <c r="K53" s="40"/>
      <c r="L53" s="40"/>
      <c r="M53" s="36"/>
      <c r="N53" s="35" t="str">
        <f t="shared" si="1"/>
        <v/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9"/>
      <c r="C54" s="38"/>
      <c r="D54" s="38"/>
      <c r="E54" s="38"/>
      <c r="F54" s="38"/>
      <c r="G54" s="39"/>
      <c r="H54" s="39"/>
      <c r="I54" s="38"/>
      <c r="J54" s="40"/>
      <c r="K54" s="40"/>
      <c r="L54" s="40"/>
      <c r="M54" s="36"/>
      <c r="N54" s="35" t="str">
        <f t="shared" si="1"/>
        <v/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9"/>
      <c r="C55" s="38"/>
      <c r="D55" s="38"/>
      <c r="E55" s="38"/>
      <c r="F55" s="38"/>
      <c r="G55" s="39"/>
      <c r="H55" s="39"/>
      <c r="I55" s="38"/>
      <c r="J55" s="40"/>
      <c r="K55" s="40"/>
      <c r="L55" s="40"/>
      <c r="M55" s="36"/>
      <c r="N55" s="35" t="str">
        <f t="shared" si="1"/>
        <v/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9"/>
      <c r="C56" s="38"/>
      <c r="D56" s="38"/>
      <c r="E56" s="38"/>
      <c r="F56" s="38"/>
      <c r="G56" s="39"/>
      <c r="H56" s="39"/>
      <c r="I56" s="38"/>
      <c r="J56" s="40"/>
      <c r="K56" s="40"/>
      <c r="L56" s="40"/>
      <c r="M56" s="36"/>
      <c r="N56" s="35" t="str">
        <f t="shared" si="1"/>
        <v/>
      </c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9"/>
      <c r="C57" s="38"/>
      <c r="D57" s="38"/>
      <c r="E57" s="38"/>
      <c r="F57" s="38"/>
      <c r="G57" s="39"/>
      <c r="H57" s="39"/>
      <c r="I57" s="38"/>
      <c r="J57" s="40"/>
      <c r="K57" s="40"/>
      <c r="L57" s="40"/>
      <c r="M57" s="36"/>
      <c r="N57" s="35" t="str">
        <f t="shared" si="1"/>
        <v/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9"/>
      <c r="C58" s="38"/>
      <c r="D58" s="38"/>
      <c r="E58" s="38"/>
      <c r="F58" s="38"/>
      <c r="G58" s="39"/>
      <c r="H58" s="39"/>
      <c r="I58" s="38"/>
      <c r="J58" s="40"/>
      <c r="K58" s="40"/>
      <c r="L58" s="40"/>
      <c r="M58" s="36"/>
      <c r="N58" s="35" t="str">
        <f t="shared" si="1"/>
        <v/>
      </c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9"/>
      <c r="C59" s="38"/>
      <c r="D59" s="38"/>
      <c r="E59" s="38"/>
      <c r="F59" s="38"/>
      <c r="G59" s="39"/>
      <c r="H59" s="39"/>
      <c r="I59" s="38"/>
      <c r="J59" s="40"/>
      <c r="K59" s="40"/>
      <c r="L59" s="40"/>
      <c r="M59" s="36"/>
      <c r="N59" s="35" t="str">
        <f t="shared" si="1"/>
        <v/>
      </c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9"/>
      <c r="C60" s="38"/>
      <c r="D60" s="38"/>
      <c r="E60" s="38"/>
      <c r="F60" s="38"/>
      <c r="G60" s="39"/>
      <c r="H60" s="39"/>
      <c r="I60" s="38"/>
      <c r="J60" s="40"/>
      <c r="K60" s="40"/>
      <c r="L60" s="40"/>
      <c r="M60" s="36"/>
      <c r="N60" s="35" t="str">
        <f t="shared" si="1"/>
        <v/>
      </c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9"/>
      <c r="C61" s="38"/>
      <c r="D61" s="38"/>
      <c r="E61" s="38"/>
      <c r="F61" s="38"/>
      <c r="G61" s="39"/>
      <c r="H61" s="39"/>
      <c r="I61" s="38"/>
      <c r="J61" s="40"/>
      <c r="K61" s="40"/>
      <c r="L61" s="40"/>
      <c r="M61" s="36"/>
      <c r="N61" s="35" t="str">
        <f t="shared" si="1"/>
        <v/>
      </c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9"/>
      <c r="C62" s="38"/>
      <c r="D62" s="38"/>
      <c r="E62" s="38"/>
      <c r="F62" s="38"/>
      <c r="G62" s="39"/>
      <c r="H62" s="39"/>
      <c r="I62" s="38"/>
      <c r="J62" s="40"/>
      <c r="K62" s="40"/>
      <c r="L62" s="40"/>
      <c r="M62" s="36"/>
      <c r="N62" s="35" t="str">
        <f t="shared" si="1"/>
        <v/>
      </c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9"/>
      <c r="C63" s="38"/>
      <c r="D63" s="38"/>
      <c r="E63" s="38"/>
      <c r="F63" s="38"/>
      <c r="G63" s="39"/>
      <c r="H63" s="39"/>
      <c r="I63" s="38"/>
      <c r="J63" s="40"/>
      <c r="K63" s="40"/>
      <c r="L63" s="40"/>
      <c r="M63" s="36"/>
      <c r="N63" s="35" t="str">
        <f>IF(#REF!="","",#REF!/1000)</f>
        <v>#REF!</v>
      </c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9"/>
      <c r="C64" s="38"/>
      <c r="D64" s="38"/>
      <c r="E64" s="38"/>
      <c r="F64" s="38"/>
      <c r="G64" s="39"/>
      <c r="H64" s="39"/>
      <c r="I64" s="38"/>
      <c r="J64" s="40"/>
      <c r="K64" s="40"/>
      <c r="L64" s="40"/>
      <c r="M64" s="36"/>
      <c r="N64" s="35" t="str">
        <f>IF(M63="","",M63/1000)</f>
        <v/>
      </c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9"/>
      <c r="C65" s="38"/>
      <c r="D65" s="38"/>
      <c r="E65" s="38"/>
      <c r="F65" s="38"/>
      <c r="G65" s="39"/>
      <c r="H65" s="39"/>
      <c r="I65" s="38"/>
      <c r="J65" s="40"/>
      <c r="K65" s="40"/>
      <c r="L65" s="40"/>
      <c r="M65" s="36"/>
      <c r="N65" s="35" t="str">
        <f t="shared" ref="N65:N100" si="2">IF(M65="","",M65/1000)</f>
        <v/>
      </c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9"/>
      <c r="C66" s="38"/>
      <c r="D66" s="38"/>
      <c r="E66" s="38"/>
      <c r="F66" s="38"/>
      <c r="G66" s="39"/>
      <c r="H66" s="39"/>
      <c r="I66" s="38"/>
      <c r="J66" s="40"/>
      <c r="K66" s="40"/>
      <c r="L66" s="40"/>
      <c r="M66" s="36"/>
      <c r="N66" s="35" t="str">
        <f t="shared" si="2"/>
        <v/>
      </c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9"/>
      <c r="C67" s="38"/>
      <c r="D67" s="38"/>
      <c r="E67" s="38"/>
      <c r="F67" s="38"/>
      <c r="G67" s="39"/>
      <c r="H67" s="39"/>
      <c r="I67" s="38"/>
      <c r="J67" s="40"/>
      <c r="K67" s="40"/>
      <c r="L67" s="40"/>
      <c r="M67" s="41"/>
      <c r="N67" s="35" t="str">
        <f t="shared" si="2"/>
        <v/>
      </c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9"/>
      <c r="C68" s="38"/>
      <c r="D68" s="38"/>
      <c r="E68" s="38"/>
      <c r="F68" s="38"/>
      <c r="G68" s="39"/>
      <c r="H68" s="39"/>
      <c r="I68" s="38"/>
      <c r="J68" s="40"/>
      <c r="K68" s="40"/>
      <c r="L68" s="40"/>
      <c r="M68" s="41"/>
      <c r="N68" s="35" t="str">
        <f t="shared" si="2"/>
        <v/>
      </c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9"/>
      <c r="C69" s="38"/>
      <c r="D69" s="38"/>
      <c r="E69" s="38"/>
      <c r="F69" s="38"/>
      <c r="G69" s="39"/>
      <c r="H69" s="39"/>
      <c r="I69" s="38"/>
      <c r="J69" s="40"/>
      <c r="K69" s="40"/>
      <c r="L69" s="40"/>
      <c r="M69" s="41"/>
      <c r="N69" s="35" t="str">
        <f t="shared" si="2"/>
        <v/>
      </c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9"/>
      <c r="C70" s="38"/>
      <c r="D70" s="38"/>
      <c r="E70" s="38"/>
      <c r="F70" s="38"/>
      <c r="G70" s="39"/>
      <c r="H70" s="39"/>
      <c r="I70" s="38"/>
      <c r="J70" s="40"/>
      <c r="K70" s="40"/>
      <c r="L70" s="40"/>
      <c r="M70" s="41"/>
      <c r="N70" s="35" t="str">
        <f t="shared" si="2"/>
        <v/>
      </c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9"/>
      <c r="C71" s="38"/>
      <c r="D71" s="38"/>
      <c r="E71" s="38"/>
      <c r="F71" s="38"/>
      <c r="G71" s="39"/>
      <c r="H71" s="39"/>
      <c r="I71" s="38"/>
      <c r="J71" s="40"/>
      <c r="K71" s="40"/>
      <c r="L71" s="40"/>
      <c r="M71" s="41"/>
      <c r="N71" s="35" t="str">
        <f t="shared" si="2"/>
        <v/>
      </c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9"/>
      <c r="C72" s="38"/>
      <c r="D72" s="38"/>
      <c r="E72" s="38"/>
      <c r="F72" s="38"/>
      <c r="G72" s="39"/>
      <c r="H72" s="39"/>
      <c r="I72" s="38"/>
      <c r="J72" s="40"/>
      <c r="K72" s="40"/>
      <c r="L72" s="40"/>
      <c r="M72" s="41"/>
      <c r="N72" s="35" t="str">
        <f t="shared" si="2"/>
        <v/>
      </c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9"/>
      <c r="C73" s="38"/>
      <c r="D73" s="38"/>
      <c r="E73" s="38"/>
      <c r="F73" s="38"/>
      <c r="G73" s="39"/>
      <c r="H73" s="39"/>
      <c r="I73" s="38"/>
      <c r="J73" s="40"/>
      <c r="K73" s="40"/>
      <c r="L73" s="40"/>
      <c r="M73" s="41"/>
      <c r="N73" s="35" t="str">
        <f t="shared" si="2"/>
        <v/>
      </c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9"/>
      <c r="C74" s="38"/>
      <c r="D74" s="38"/>
      <c r="E74" s="38"/>
      <c r="F74" s="38"/>
      <c r="G74" s="39"/>
      <c r="H74" s="39"/>
      <c r="I74" s="38"/>
      <c r="J74" s="40"/>
      <c r="K74" s="40"/>
      <c r="L74" s="40"/>
      <c r="M74" s="41"/>
      <c r="N74" s="35" t="str">
        <f t="shared" si="2"/>
        <v/>
      </c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9"/>
      <c r="C75" s="38"/>
      <c r="D75" s="38"/>
      <c r="E75" s="38"/>
      <c r="F75" s="38"/>
      <c r="G75" s="39"/>
      <c r="H75" s="39"/>
      <c r="I75" s="38"/>
      <c r="J75" s="40"/>
      <c r="K75" s="40"/>
      <c r="L75" s="40"/>
      <c r="M75" s="41"/>
      <c r="N75" s="35" t="str">
        <f t="shared" si="2"/>
        <v/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9"/>
      <c r="C76" s="38"/>
      <c r="D76" s="38"/>
      <c r="E76" s="38"/>
      <c r="F76" s="38"/>
      <c r="G76" s="39"/>
      <c r="H76" s="39"/>
      <c r="I76" s="38"/>
      <c r="J76" s="40"/>
      <c r="K76" s="40"/>
      <c r="L76" s="40"/>
      <c r="M76" s="41"/>
      <c r="N76" s="35" t="str">
        <f t="shared" si="2"/>
        <v/>
      </c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9"/>
      <c r="C77" s="38"/>
      <c r="D77" s="38"/>
      <c r="E77" s="38"/>
      <c r="F77" s="38"/>
      <c r="G77" s="39"/>
      <c r="H77" s="39"/>
      <c r="I77" s="38"/>
      <c r="J77" s="40"/>
      <c r="K77" s="40"/>
      <c r="L77" s="40"/>
      <c r="M77" s="41"/>
      <c r="N77" s="35" t="str">
        <f t="shared" si="2"/>
        <v/>
      </c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9"/>
      <c r="C78" s="38"/>
      <c r="D78" s="38"/>
      <c r="E78" s="38"/>
      <c r="F78" s="38"/>
      <c r="G78" s="39"/>
      <c r="H78" s="39"/>
      <c r="I78" s="38"/>
      <c r="J78" s="40"/>
      <c r="K78" s="40"/>
      <c r="L78" s="40"/>
      <c r="M78" s="41"/>
      <c r="N78" s="35" t="str">
        <f t="shared" si="2"/>
        <v/>
      </c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9"/>
      <c r="C79" s="38"/>
      <c r="D79" s="38"/>
      <c r="E79" s="38"/>
      <c r="F79" s="38"/>
      <c r="G79" s="39"/>
      <c r="H79" s="39"/>
      <c r="I79" s="38"/>
      <c r="J79" s="40"/>
      <c r="K79" s="40"/>
      <c r="L79" s="40"/>
      <c r="M79" s="41"/>
      <c r="N79" s="35" t="str">
        <f t="shared" si="2"/>
        <v/>
      </c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9"/>
      <c r="C80" s="38"/>
      <c r="D80" s="38"/>
      <c r="E80" s="38"/>
      <c r="F80" s="38"/>
      <c r="G80" s="39"/>
      <c r="H80" s="39"/>
      <c r="I80" s="38"/>
      <c r="J80" s="40"/>
      <c r="K80" s="40"/>
      <c r="L80" s="40"/>
      <c r="M80" s="41"/>
      <c r="N80" s="35" t="str">
        <f t="shared" si="2"/>
        <v/>
      </c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9"/>
      <c r="C81" s="38"/>
      <c r="D81" s="38"/>
      <c r="E81" s="38"/>
      <c r="F81" s="38"/>
      <c r="G81" s="39"/>
      <c r="H81" s="39"/>
      <c r="I81" s="38"/>
      <c r="J81" s="40"/>
      <c r="K81" s="40"/>
      <c r="L81" s="40"/>
      <c r="M81" s="41"/>
      <c r="N81" s="35" t="str">
        <f t="shared" si="2"/>
        <v/>
      </c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9"/>
      <c r="C82" s="38"/>
      <c r="D82" s="38"/>
      <c r="E82" s="38"/>
      <c r="F82" s="38"/>
      <c r="G82" s="39"/>
      <c r="H82" s="39"/>
      <c r="I82" s="38"/>
      <c r="J82" s="40"/>
      <c r="K82" s="40"/>
      <c r="L82" s="40"/>
      <c r="M82" s="41"/>
      <c r="N82" s="35" t="str">
        <f t="shared" si="2"/>
        <v/>
      </c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9"/>
      <c r="C83" s="38"/>
      <c r="D83" s="38"/>
      <c r="E83" s="38"/>
      <c r="F83" s="38"/>
      <c r="G83" s="39"/>
      <c r="H83" s="39"/>
      <c r="I83" s="38"/>
      <c r="J83" s="40"/>
      <c r="K83" s="40"/>
      <c r="L83" s="40"/>
      <c r="M83" s="41"/>
      <c r="N83" s="35" t="str">
        <f t="shared" si="2"/>
        <v/>
      </c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9"/>
      <c r="C84" s="38"/>
      <c r="D84" s="38"/>
      <c r="E84" s="38"/>
      <c r="F84" s="38"/>
      <c r="G84" s="39"/>
      <c r="H84" s="39"/>
      <c r="I84" s="38"/>
      <c r="J84" s="40"/>
      <c r="K84" s="40"/>
      <c r="L84" s="40"/>
      <c r="M84" s="41"/>
      <c r="N84" s="35" t="str">
        <f t="shared" si="2"/>
        <v/>
      </c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9"/>
      <c r="C85" s="38"/>
      <c r="D85" s="38"/>
      <c r="E85" s="38"/>
      <c r="F85" s="38"/>
      <c r="G85" s="39"/>
      <c r="H85" s="39"/>
      <c r="I85" s="38"/>
      <c r="J85" s="40"/>
      <c r="K85" s="40"/>
      <c r="L85" s="40"/>
      <c r="M85" s="41"/>
      <c r="N85" s="35" t="str">
        <f t="shared" si="2"/>
        <v/>
      </c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9"/>
      <c r="C86" s="38"/>
      <c r="D86" s="38"/>
      <c r="E86" s="38"/>
      <c r="F86" s="38"/>
      <c r="G86" s="39"/>
      <c r="H86" s="39"/>
      <c r="I86" s="38"/>
      <c r="J86" s="40"/>
      <c r="K86" s="40"/>
      <c r="L86" s="40"/>
      <c r="M86" s="41"/>
      <c r="N86" s="35" t="str">
        <f t="shared" si="2"/>
        <v/>
      </c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9"/>
      <c r="C87" s="38"/>
      <c r="D87" s="38"/>
      <c r="E87" s="38"/>
      <c r="F87" s="38"/>
      <c r="G87" s="39"/>
      <c r="H87" s="39"/>
      <c r="I87" s="38"/>
      <c r="J87" s="40"/>
      <c r="K87" s="40"/>
      <c r="L87" s="40"/>
      <c r="M87" s="41"/>
      <c r="N87" s="35" t="str">
        <f t="shared" si="2"/>
        <v/>
      </c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9"/>
      <c r="C88" s="38"/>
      <c r="D88" s="38"/>
      <c r="E88" s="38"/>
      <c r="F88" s="38"/>
      <c r="G88" s="39"/>
      <c r="H88" s="39"/>
      <c r="I88" s="38"/>
      <c r="J88" s="40"/>
      <c r="K88" s="40"/>
      <c r="L88" s="40"/>
      <c r="M88" s="41"/>
      <c r="N88" s="35" t="str">
        <f t="shared" si="2"/>
        <v/>
      </c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9"/>
      <c r="C89" s="38"/>
      <c r="D89" s="38"/>
      <c r="E89" s="38"/>
      <c r="F89" s="38"/>
      <c r="G89" s="39"/>
      <c r="H89" s="39"/>
      <c r="I89" s="38"/>
      <c r="J89" s="40"/>
      <c r="K89" s="40"/>
      <c r="L89" s="40"/>
      <c r="M89" s="41"/>
      <c r="N89" s="35" t="str">
        <f t="shared" si="2"/>
        <v/>
      </c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9"/>
      <c r="C90" s="38"/>
      <c r="D90" s="38"/>
      <c r="E90" s="38"/>
      <c r="F90" s="38"/>
      <c r="G90" s="39"/>
      <c r="H90" s="39"/>
      <c r="I90" s="38"/>
      <c r="J90" s="40"/>
      <c r="K90" s="40"/>
      <c r="L90" s="40"/>
      <c r="M90" s="41"/>
      <c r="N90" s="35" t="str">
        <f t="shared" si="2"/>
        <v/>
      </c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9"/>
      <c r="C91" s="38"/>
      <c r="D91" s="38"/>
      <c r="E91" s="38"/>
      <c r="F91" s="38"/>
      <c r="G91" s="39"/>
      <c r="H91" s="39"/>
      <c r="I91" s="38"/>
      <c r="J91" s="40"/>
      <c r="K91" s="40"/>
      <c r="L91" s="40"/>
      <c r="M91" s="41"/>
      <c r="N91" s="35" t="str">
        <f t="shared" si="2"/>
        <v/>
      </c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9"/>
      <c r="C92" s="38"/>
      <c r="D92" s="38"/>
      <c r="E92" s="38"/>
      <c r="F92" s="38"/>
      <c r="G92" s="39"/>
      <c r="H92" s="39"/>
      <c r="I92" s="38"/>
      <c r="J92" s="40"/>
      <c r="K92" s="40"/>
      <c r="L92" s="40"/>
      <c r="M92" s="41"/>
      <c r="N92" s="35" t="str">
        <f t="shared" si="2"/>
        <v/>
      </c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9"/>
      <c r="C93" s="38"/>
      <c r="D93" s="38"/>
      <c r="E93" s="38"/>
      <c r="F93" s="38"/>
      <c r="G93" s="39"/>
      <c r="H93" s="39"/>
      <c r="I93" s="38"/>
      <c r="J93" s="40"/>
      <c r="K93" s="40"/>
      <c r="L93" s="40"/>
      <c r="M93" s="41"/>
      <c r="N93" s="35" t="str">
        <f t="shared" si="2"/>
        <v/>
      </c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9"/>
      <c r="C94" s="38"/>
      <c r="D94" s="38"/>
      <c r="E94" s="38"/>
      <c r="F94" s="38"/>
      <c r="G94" s="39"/>
      <c r="H94" s="39"/>
      <c r="I94" s="38"/>
      <c r="J94" s="40"/>
      <c r="K94" s="40"/>
      <c r="L94" s="40"/>
      <c r="M94" s="41"/>
      <c r="N94" s="35" t="str">
        <f t="shared" si="2"/>
        <v/>
      </c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9"/>
      <c r="C95" s="38"/>
      <c r="D95" s="38"/>
      <c r="E95" s="38"/>
      <c r="F95" s="38"/>
      <c r="G95" s="39"/>
      <c r="H95" s="39"/>
      <c r="I95" s="38"/>
      <c r="J95" s="40"/>
      <c r="K95" s="40"/>
      <c r="L95" s="40"/>
      <c r="M95" s="41"/>
      <c r="N95" s="35" t="str">
        <f t="shared" si="2"/>
        <v/>
      </c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9"/>
      <c r="C96" s="38"/>
      <c r="D96" s="38"/>
      <c r="E96" s="38"/>
      <c r="F96" s="38"/>
      <c r="G96" s="39"/>
      <c r="H96" s="39"/>
      <c r="I96" s="38"/>
      <c r="J96" s="40"/>
      <c r="K96" s="40"/>
      <c r="L96" s="40"/>
      <c r="M96" s="41"/>
      <c r="N96" s="35" t="str">
        <f t="shared" si="2"/>
        <v/>
      </c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9"/>
      <c r="C97" s="38"/>
      <c r="D97" s="38"/>
      <c r="E97" s="38"/>
      <c r="F97" s="38"/>
      <c r="G97" s="39"/>
      <c r="H97" s="39"/>
      <c r="I97" s="38"/>
      <c r="J97" s="40"/>
      <c r="K97" s="40"/>
      <c r="L97" s="40"/>
      <c r="M97" s="41"/>
      <c r="N97" s="35" t="str">
        <f t="shared" si="2"/>
        <v/>
      </c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9"/>
      <c r="C98" s="38"/>
      <c r="D98" s="38"/>
      <c r="E98" s="38"/>
      <c r="F98" s="38"/>
      <c r="G98" s="39"/>
      <c r="H98" s="39"/>
      <c r="I98" s="38"/>
      <c r="J98" s="40"/>
      <c r="K98" s="40"/>
      <c r="L98" s="40"/>
      <c r="M98" s="41"/>
      <c r="N98" s="35" t="str">
        <f t="shared" si="2"/>
        <v/>
      </c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9"/>
      <c r="C99" s="38"/>
      <c r="D99" s="38"/>
      <c r="E99" s="38"/>
      <c r="F99" s="38"/>
      <c r="G99" s="39"/>
      <c r="H99" s="39"/>
      <c r="I99" s="38"/>
      <c r="J99" s="40"/>
      <c r="K99" s="40"/>
      <c r="L99" s="40"/>
      <c r="M99" s="41"/>
      <c r="N99" s="35" t="str">
        <f t="shared" si="2"/>
        <v/>
      </c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38"/>
      <c r="C100" s="38"/>
      <c r="D100" s="38"/>
      <c r="E100" s="38"/>
      <c r="F100" s="38"/>
      <c r="G100" s="39"/>
      <c r="H100" s="39"/>
      <c r="I100" s="38"/>
      <c r="J100" s="40"/>
      <c r="K100" s="40"/>
      <c r="L100" s="40"/>
      <c r="M100" s="41"/>
      <c r="N100" s="42" t="str">
        <f t="shared" si="2"/>
        <v/>
      </c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9.5" customHeight="1">
      <c r="A101" s="26"/>
      <c r="B101" s="43"/>
      <c r="C101" s="43"/>
      <c r="D101" s="43"/>
      <c r="E101" s="43"/>
      <c r="F101" s="43"/>
      <c r="G101" s="44"/>
      <c r="H101" s="44"/>
      <c r="I101" s="43"/>
      <c r="J101" s="45"/>
      <c r="K101" s="43"/>
      <c r="L101" s="43"/>
      <c r="M101" s="46"/>
      <c r="N101" s="4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9.5" customHeight="1">
      <c r="A102" s="26"/>
      <c r="B102" s="43"/>
      <c r="C102" s="43"/>
      <c r="D102" s="43"/>
      <c r="E102" s="43"/>
      <c r="F102" s="43"/>
      <c r="G102" s="44"/>
      <c r="H102" s="44"/>
      <c r="I102" s="43"/>
      <c r="J102" s="45"/>
      <c r="K102" s="43"/>
      <c r="L102" s="43"/>
      <c r="M102" s="46"/>
      <c r="N102" s="4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9.5" customHeight="1">
      <c r="A103" s="26"/>
      <c r="B103" s="26"/>
      <c r="C103" s="43"/>
      <c r="D103" s="43"/>
      <c r="E103" s="43"/>
      <c r="F103" s="43"/>
      <c r="G103" s="47"/>
      <c r="H103" s="47"/>
      <c r="I103" s="26"/>
      <c r="J103" s="48"/>
      <c r="K103" s="26"/>
      <c r="L103" s="26"/>
      <c r="M103" s="49"/>
      <c r="N103" s="49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9.5" customHeight="1">
      <c r="A104" s="26"/>
      <c r="B104" s="26"/>
      <c r="C104" s="43"/>
      <c r="D104" s="43"/>
      <c r="E104" s="43"/>
      <c r="F104" s="43"/>
      <c r="G104" s="47"/>
      <c r="H104" s="47"/>
      <c r="I104" s="26"/>
      <c r="J104" s="48"/>
      <c r="K104" s="26"/>
      <c r="L104" s="26"/>
      <c r="M104" s="49"/>
      <c r="N104" s="49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9.5" customHeight="1">
      <c r="A105" s="26"/>
      <c r="B105" s="26"/>
      <c r="C105" s="43"/>
      <c r="D105" s="43"/>
      <c r="E105" s="43"/>
      <c r="F105" s="43"/>
      <c r="G105" s="47"/>
      <c r="H105" s="47"/>
      <c r="I105" s="26"/>
      <c r="J105" s="48"/>
      <c r="K105" s="26"/>
      <c r="L105" s="26"/>
      <c r="M105" s="49"/>
      <c r="N105" s="49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9.5" customHeight="1">
      <c r="A106" s="26"/>
      <c r="B106" s="26"/>
      <c r="C106" s="43"/>
      <c r="D106" s="43"/>
      <c r="E106" s="43"/>
      <c r="F106" s="43"/>
      <c r="G106" s="47"/>
      <c r="H106" s="47"/>
      <c r="I106" s="26"/>
      <c r="J106" s="48"/>
      <c r="K106" s="26"/>
      <c r="L106" s="26"/>
      <c r="M106" s="49"/>
      <c r="N106" s="49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9.5" customHeight="1">
      <c r="A107" s="26"/>
      <c r="B107" s="26"/>
      <c r="C107" s="43"/>
      <c r="D107" s="43"/>
      <c r="E107" s="43"/>
      <c r="F107" s="43"/>
      <c r="G107" s="47"/>
      <c r="H107" s="47"/>
      <c r="I107" s="26"/>
      <c r="J107" s="48"/>
      <c r="K107" s="26"/>
      <c r="L107" s="26"/>
      <c r="M107" s="49"/>
      <c r="N107" s="49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9.5" customHeight="1">
      <c r="A108" s="26"/>
      <c r="B108" s="26"/>
      <c r="C108" s="43"/>
      <c r="D108" s="43"/>
      <c r="E108" s="43"/>
      <c r="F108" s="43"/>
      <c r="G108" s="47"/>
      <c r="H108" s="47"/>
      <c r="I108" s="26"/>
      <c r="J108" s="48"/>
      <c r="K108" s="26"/>
      <c r="L108" s="26"/>
      <c r="M108" s="49"/>
      <c r="N108" s="49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9.5" customHeight="1">
      <c r="A109" s="26"/>
      <c r="B109" s="26"/>
      <c r="C109" s="43"/>
      <c r="D109" s="43"/>
      <c r="E109" s="43"/>
      <c r="F109" s="43"/>
      <c r="G109" s="47"/>
      <c r="H109" s="47"/>
      <c r="I109" s="26"/>
      <c r="J109" s="48"/>
      <c r="K109" s="26"/>
      <c r="L109" s="26"/>
      <c r="M109" s="49"/>
      <c r="N109" s="49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9.5" customHeight="1">
      <c r="A110" s="26"/>
      <c r="B110" s="26"/>
      <c r="C110" s="43"/>
      <c r="D110" s="43"/>
      <c r="E110" s="43"/>
      <c r="F110" s="43"/>
      <c r="G110" s="47"/>
      <c r="H110" s="47"/>
      <c r="I110" s="26"/>
      <c r="J110" s="48"/>
      <c r="K110" s="26"/>
      <c r="L110" s="26"/>
      <c r="M110" s="49"/>
      <c r="N110" s="49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9.5" customHeight="1">
      <c r="A111" s="26"/>
      <c r="B111" s="26"/>
      <c r="C111" s="43"/>
      <c r="D111" s="43"/>
      <c r="E111" s="43"/>
      <c r="F111" s="43"/>
      <c r="G111" s="47"/>
      <c r="H111" s="47"/>
      <c r="I111" s="26"/>
      <c r="J111" s="48"/>
      <c r="K111" s="26"/>
      <c r="L111" s="26"/>
      <c r="M111" s="49"/>
      <c r="N111" s="49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9.5" customHeight="1">
      <c r="A112" s="26"/>
      <c r="B112" s="26"/>
      <c r="C112" s="43"/>
      <c r="D112" s="43"/>
      <c r="E112" s="43"/>
      <c r="F112" s="43"/>
      <c r="G112" s="47"/>
      <c r="H112" s="47"/>
      <c r="I112" s="26"/>
      <c r="J112" s="48"/>
      <c r="K112" s="26"/>
      <c r="L112" s="26"/>
      <c r="M112" s="49"/>
      <c r="N112" s="49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9.5" customHeight="1">
      <c r="A113" s="26"/>
      <c r="B113" s="26"/>
      <c r="C113" s="43"/>
      <c r="D113" s="43"/>
      <c r="E113" s="43"/>
      <c r="F113" s="43"/>
      <c r="G113" s="47"/>
      <c r="H113" s="47"/>
      <c r="I113" s="26"/>
      <c r="J113" s="48"/>
      <c r="K113" s="26"/>
      <c r="L113" s="26"/>
      <c r="M113" s="49"/>
      <c r="N113" s="49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9.5" customHeight="1">
      <c r="A114" s="26"/>
      <c r="B114" s="26"/>
      <c r="C114" s="43"/>
      <c r="D114" s="43"/>
      <c r="E114" s="43"/>
      <c r="F114" s="43"/>
      <c r="G114" s="47"/>
      <c r="H114" s="47"/>
      <c r="I114" s="26"/>
      <c r="J114" s="48"/>
      <c r="K114" s="26"/>
      <c r="L114" s="26"/>
      <c r="M114" s="49"/>
      <c r="N114" s="49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9.5" customHeight="1">
      <c r="A115" s="26"/>
      <c r="B115" s="26"/>
      <c r="C115" s="43"/>
      <c r="D115" s="43"/>
      <c r="E115" s="43"/>
      <c r="F115" s="43"/>
      <c r="G115" s="47"/>
      <c r="H115" s="47"/>
      <c r="I115" s="26"/>
      <c r="J115" s="48"/>
      <c r="K115" s="26"/>
      <c r="L115" s="26"/>
      <c r="M115" s="49"/>
      <c r="N115" s="49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9.5" customHeight="1">
      <c r="A116" s="26"/>
      <c r="B116" s="26"/>
      <c r="C116" s="43"/>
      <c r="D116" s="43"/>
      <c r="E116" s="43"/>
      <c r="F116" s="43"/>
      <c r="G116" s="47"/>
      <c r="H116" s="47"/>
      <c r="I116" s="26"/>
      <c r="J116" s="48"/>
      <c r="K116" s="26"/>
      <c r="L116" s="26"/>
      <c r="M116" s="49"/>
      <c r="N116" s="49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9.5" customHeight="1">
      <c r="A117" s="26"/>
      <c r="B117" s="26"/>
      <c r="C117" s="43"/>
      <c r="D117" s="43"/>
      <c r="E117" s="43"/>
      <c r="F117" s="43"/>
      <c r="G117" s="47"/>
      <c r="H117" s="47"/>
      <c r="I117" s="26"/>
      <c r="J117" s="48"/>
      <c r="K117" s="26"/>
      <c r="L117" s="26"/>
      <c r="M117" s="49"/>
      <c r="N117" s="49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9.5" customHeight="1">
      <c r="A118" s="26"/>
      <c r="B118" s="26"/>
      <c r="C118" s="43"/>
      <c r="D118" s="43"/>
      <c r="E118" s="43"/>
      <c r="F118" s="43"/>
      <c r="G118" s="47"/>
      <c r="H118" s="47"/>
      <c r="I118" s="26"/>
      <c r="J118" s="48"/>
      <c r="K118" s="26"/>
      <c r="L118" s="26"/>
      <c r="M118" s="49"/>
      <c r="N118" s="49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9.5" customHeight="1">
      <c r="A119" s="26"/>
      <c r="B119" s="26"/>
      <c r="C119" s="43"/>
      <c r="D119" s="43"/>
      <c r="E119" s="43"/>
      <c r="F119" s="43"/>
      <c r="G119" s="47"/>
      <c r="H119" s="47"/>
      <c r="I119" s="26"/>
      <c r="J119" s="48"/>
      <c r="K119" s="26"/>
      <c r="L119" s="26"/>
      <c r="M119" s="49"/>
      <c r="N119" s="49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9.5" customHeight="1">
      <c r="A120" s="26"/>
      <c r="B120" s="26"/>
      <c r="C120" s="43"/>
      <c r="D120" s="43"/>
      <c r="E120" s="43"/>
      <c r="F120" s="43"/>
      <c r="G120" s="47"/>
      <c r="H120" s="47"/>
      <c r="I120" s="26"/>
      <c r="J120" s="48"/>
      <c r="K120" s="26"/>
      <c r="L120" s="26"/>
      <c r="M120" s="49"/>
      <c r="N120" s="49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9.5" customHeight="1">
      <c r="A121" s="26"/>
      <c r="B121" s="26"/>
      <c r="C121" s="43"/>
      <c r="D121" s="43"/>
      <c r="E121" s="43"/>
      <c r="F121" s="43"/>
      <c r="G121" s="47"/>
      <c r="H121" s="47"/>
      <c r="I121" s="26"/>
      <c r="J121" s="48"/>
      <c r="K121" s="26"/>
      <c r="L121" s="26"/>
      <c r="M121" s="49"/>
      <c r="N121" s="49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9.5" customHeight="1">
      <c r="A122" s="26"/>
      <c r="B122" s="26"/>
      <c r="C122" s="43"/>
      <c r="D122" s="43"/>
      <c r="E122" s="43"/>
      <c r="F122" s="43"/>
      <c r="G122" s="47"/>
      <c r="H122" s="47"/>
      <c r="I122" s="26"/>
      <c r="J122" s="48"/>
      <c r="K122" s="26"/>
      <c r="L122" s="26"/>
      <c r="M122" s="49"/>
      <c r="N122" s="49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9.5" customHeight="1">
      <c r="A123" s="26"/>
      <c r="B123" s="26"/>
      <c r="C123" s="43"/>
      <c r="D123" s="43"/>
      <c r="E123" s="43"/>
      <c r="F123" s="43"/>
      <c r="G123" s="47"/>
      <c r="H123" s="47"/>
      <c r="I123" s="26"/>
      <c r="J123" s="48"/>
      <c r="K123" s="26"/>
      <c r="L123" s="26"/>
      <c r="M123" s="49"/>
      <c r="N123" s="49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9.5" customHeight="1">
      <c r="A124" s="26"/>
      <c r="B124" s="26"/>
      <c r="C124" s="43"/>
      <c r="D124" s="43"/>
      <c r="E124" s="43"/>
      <c r="F124" s="43"/>
      <c r="G124" s="47"/>
      <c r="H124" s="47"/>
      <c r="I124" s="26"/>
      <c r="J124" s="48"/>
      <c r="K124" s="26"/>
      <c r="L124" s="26"/>
      <c r="M124" s="49"/>
      <c r="N124" s="49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9.5" customHeight="1">
      <c r="A125" s="26"/>
      <c r="B125" s="26"/>
      <c r="C125" s="43"/>
      <c r="D125" s="43"/>
      <c r="E125" s="43"/>
      <c r="F125" s="43"/>
      <c r="G125" s="47"/>
      <c r="H125" s="47"/>
      <c r="I125" s="26"/>
      <c r="J125" s="48"/>
      <c r="K125" s="26"/>
      <c r="L125" s="26"/>
      <c r="M125" s="49"/>
      <c r="N125" s="49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9.5" customHeight="1">
      <c r="A126" s="26"/>
      <c r="B126" s="26"/>
      <c r="C126" s="43"/>
      <c r="D126" s="43"/>
      <c r="E126" s="43"/>
      <c r="F126" s="43"/>
      <c r="G126" s="47"/>
      <c r="H126" s="47"/>
      <c r="I126" s="26"/>
      <c r="J126" s="48"/>
      <c r="K126" s="26"/>
      <c r="L126" s="26"/>
      <c r="M126" s="49"/>
      <c r="N126" s="49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9.5" customHeight="1">
      <c r="A127" s="26"/>
      <c r="B127" s="26"/>
      <c r="C127" s="43"/>
      <c r="D127" s="43"/>
      <c r="E127" s="43"/>
      <c r="F127" s="43"/>
      <c r="G127" s="47"/>
      <c r="H127" s="47"/>
      <c r="I127" s="26"/>
      <c r="J127" s="48"/>
      <c r="K127" s="26"/>
      <c r="L127" s="26"/>
      <c r="M127" s="49"/>
      <c r="N127" s="49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9.5" customHeight="1">
      <c r="A128" s="26"/>
      <c r="B128" s="26"/>
      <c r="C128" s="43"/>
      <c r="D128" s="43"/>
      <c r="E128" s="43"/>
      <c r="F128" s="43"/>
      <c r="G128" s="47"/>
      <c r="H128" s="47"/>
      <c r="I128" s="26"/>
      <c r="J128" s="48"/>
      <c r="K128" s="26"/>
      <c r="L128" s="26"/>
      <c r="M128" s="49"/>
      <c r="N128" s="49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9.5" customHeight="1">
      <c r="A129" s="26"/>
      <c r="B129" s="26"/>
      <c r="C129" s="43"/>
      <c r="D129" s="43"/>
      <c r="E129" s="43"/>
      <c r="F129" s="43"/>
      <c r="G129" s="47"/>
      <c r="H129" s="47"/>
      <c r="I129" s="26"/>
      <c r="J129" s="48"/>
      <c r="K129" s="26"/>
      <c r="L129" s="26"/>
      <c r="M129" s="49"/>
      <c r="N129" s="49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9.5" customHeight="1">
      <c r="A130" s="26"/>
      <c r="B130" s="26"/>
      <c r="C130" s="43"/>
      <c r="D130" s="43"/>
      <c r="E130" s="43"/>
      <c r="F130" s="43"/>
      <c r="G130" s="47"/>
      <c r="H130" s="47"/>
      <c r="I130" s="26"/>
      <c r="J130" s="48"/>
      <c r="K130" s="26"/>
      <c r="L130" s="26"/>
      <c r="M130" s="49"/>
      <c r="N130" s="49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9.5" customHeight="1">
      <c r="A131" s="26"/>
      <c r="B131" s="26"/>
      <c r="C131" s="43"/>
      <c r="D131" s="43"/>
      <c r="E131" s="43"/>
      <c r="F131" s="43"/>
      <c r="G131" s="47"/>
      <c r="H131" s="47"/>
      <c r="I131" s="26"/>
      <c r="J131" s="48"/>
      <c r="K131" s="26"/>
      <c r="L131" s="26"/>
      <c r="M131" s="49"/>
      <c r="N131" s="49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9.5" customHeight="1">
      <c r="A132" s="26"/>
      <c r="B132" s="26"/>
      <c r="C132" s="43"/>
      <c r="D132" s="43"/>
      <c r="E132" s="43"/>
      <c r="F132" s="43"/>
      <c r="G132" s="47"/>
      <c r="H132" s="47"/>
      <c r="I132" s="26"/>
      <c r="J132" s="48"/>
      <c r="K132" s="26"/>
      <c r="L132" s="26"/>
      <c r="M132" s="49"/>
      <c r="N132" s="49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9.5" customHeight="1">
      <c r="A133" s="26"/>
      <c r="B133" s="26"/>
      <c r="C133" s="43"/>
      <c r="D133" s="43"/>
      <c r="E133" s="43"/>
      <c r="F133" s="43"/>
      <c r="G133" s="47"/>
      <c r="H133" s="47"/>
      <c r="I133" s="26"/>
      <c r="J133" s="48"/>
      <c r="K133" s="26"/>
      <c r="L133" s="26"/>
      <c r="M133" s="49"/>
      <c r="N133" s="49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9.5" customHeight="1">
      <c r="A134" s="26"/>
      <c r="B134" s="26"/>
      <c r="C134" s="43"/>
      <c r="D134" s="43"/>
      <c r="E134" s="43"/>
      <c r="F134" s="43"/>
      <c r="G134" s="47"/>
      <c r="H134" s="47"/>
      <c r="I134" s="26"/>
      <c r="J134" s="48"/>
      <c r="K134" s="26"/>
      <c r="L134" s="26"/>
      <c r="M134" s="49"/>
      <c r="N134" s="49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9.5" customHeight="1">
      <c r="A135" s="26"/>
      <c r="B135" s="26"/>
      <c r="C135" s="43"/>
      <c r="D135" s="43"/>
      <c r="E135" s="43"/>
      <c r="F135" s="43"/>
      <c r="G135" s="47"/>
      <c r="H135" s="47"/>
      <c r="I135" s="26"/>
      <c r="J135" s="48"/>
      <c r="K135" s="26"/>
      <c r="L135" s="26"/>
      <c r="M135" s="49"/>
      <c r="N135" s="49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9.5" customHeight="1">
      <c r="A136" s="26"/>
      <c r="B136" s="26"/>
      <c r="C136" s="43"/>
      <c r="D136" s="43"/>
      <c r="E136" s="43"/>
      <c r="F136" s="43"/>
      <c r="G136" s="47"/>
      <c r="H136" s="47"/>
      <c r="I136" s="26"/>
      <c r="J136" s="48"/>
      <c r="K136" s="26"/>
      <c r="L136" s="26"/>
      <c r="M136" s="49"/>
      <c r="N136" s="49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9.5" customHeight="1">
      <c r="A137" s="26"/>
      <c r="B137" s="26"/>
      <c r="C137" s="43"/>
      <c r="D137" s="43"/>
      <c r="E137" s="43"/>
      <c r="F137" s="43"/>
      <c r="G137" s="47"/>
      <c r="H137" s="47"/>
      <c r="I137" s="26"/>
      <c r="J137" s="48"/>
      <c r="K137" s="26"/>
      <c r="L137" s="26"/>
      <c r="M137" s="49"/>
      <c r="N137" s="49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9.5" customHeight="1">
      <c r="A138" s="26"/>
      <c r="B138" s="26"/>
      <c r="C138" s="43"/>
      <c r="D138" s="43"/>
      <c r="E138" s="43"/>
      <c r="F138" s="43"/>
      <c r="G138" s="47"/>
      <c r="H138" s="47"/>
      <c r="I138" s="26"/>
      <c r="J138" s="48"/>
      <c r="K138" s="26"/>
      <c r="L138" s="26"/>
      <c r="M138" s="49"/>
      <c r="N138" s="49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9.5" customHeight="1">
      <c r="A139" s="26"/>
      <c r="B139" s="26"/>
      <c r="C139" s="43"/>
      <c r="D139" s="43"/>
      <c r="E139" s="43"/>
      <c r="F139" s="43"/>
      <c r="G139" s="47"/>
      <c r="H139" s="47"/>
      <c r="I139" s="26"/>
      <c r="J139" s="48"/>
      <c r="K139" s="26"/>
      <c r="L139" s="26"/>
      <c r="M139" s="49"/>
      <c r="N139" s="49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9.5" customHeight="1">
      <c r="A140" s="26"/>
      <c r="B140" s="26"/>
      <c r="C140" s="43"/>
      <c r="D140" s="43"/>
      <c r="E140" s="43"/>
      <c r="F140" s="43"/>
      <c r="G140" s="47"/>
      <c r="H140" s="47"/>
      <c r="I140" s="26"/>
      <c r="J140" s="48"/>
      <c r="K140" s="26"/>
      <c r="L140" s="26"/>
      <c r="M140" s="49"/>
      <c r="N140" s="49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9.5" customHeight="1">
      <c r="A141" s="26"/>
      <c r="B141" s="26"/>
      <c r="C141" s="43"/>
      <c r="D141" s="43"/>
      <c r="E141" s="43"/>
      <c r="F141" s="43"/>
      <c r="G141" s="47"/>
      <c r="H141" s="47"/>
      <c r="I141" s="26"/>
      <c r="J141" s="48"/>
      <c r="K141" s="26"/>
      <c r="L141" s="26"/>
      <c r="M141" s="49"/>
      <c r="N141" s="49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9.5" customHeight="1">
      <c r="A142" s="26"/>
      <c r="B142" s="26"/>
      <c r="C142" s="43"/>
      <c r="D142" s="43"/>
      <c r="E142" s="43"/>
      <c r="F142" s="43"/>
      <c r="G142" s="47"/>
      <c r="H142" s="47"/>
      <c r="I142" s="26"/>
      <c r="J142" s="48"/>
      <c r="K142" s="26"/>
      <c r="L142" s="26"/>
      <c r="M142" s="49"/>
      <c r="N142" s="49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9.5" customHeight="1">
      <c r="A143" s="26"/>
      <c r="B143" s="26"/>
      <c r="C143" s="43"/>
      <c r="D143" s="43"/>
      <c r="E143" s="43"/>
      <c r="F143" s="43"/>
      <c r="G143" s="47"/>
      <c r="H143" s="47"/>
      <c r="I143" s="26"/>
      <c r="J143" s="48"/>
      <c r="K143" s="26"/>
      <c r="L143" s="26"/>
      <c r="M143" s="49"/>
      <c r="N143" s="49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9.5" customHeight="1">
      <c r="A144" s="26"/>
      <c r="B144" s="26"/>
      <c r="C144" s="43"/>
      <c r="D144" s="43"/>
      <c r="E144" s="43"/>
      <c r="F144" s="43"/>
      <c r="G144" s="47"/>
      <c r="H144" s="47"/>
      <c r="I144" s="26"/>
      <c r="J144" s="48"/>
      <c r="K144" s="26"/>
      <c r="L144" s="26"/>
      <c r="M144" s="49"/>
      <c r="N144" s="49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9.5" customHeight="1">
      <c r="A145" s="26"/>
      <c r="B145" s="26"/>
      <c r="C145" s="43"/>
      <c r="D145" s="43"/>
      <c r="E145" s="43"/>
      <c r="F145" s="43"/>
      <c r="G145" s="47"/>
      <c r="H145" s="47"/>
      <c r="I145" s="26"/>
      <c r="J145" s="48"/>
      <c r="K145" s="26"/>
      <c r="L145" s="26"/>
      <c r="M145" s="49"/>
      <c r="N145" s="49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9.5" customHeight="1">
      <c r="A146" s="26"/>
      <c r="B146" s="26"/>
      <c r="C146" s="43"/>
      <c r="D146" s="43"/>
      <c r="E146" s="43"/>
      <c r="F146" s="43"/>
      <c r="G146" s="47"/>
      <c r="H146" s="47"/>
      <c r="I146" s="26"/>
      <c r="J146" s="48"/>
      <c r="K146" s="26"/>
      <c r="L146" s="26"/>
      <c r="M146" s="49"/>
      <c r="N146" s="49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9.5" customHeight="1">
      <c r="A147" s="26"/>
      <c r="B147" s="26"/>
      <c r="C147" s="43"/>
      <c r="D147" s="43"/>
      <c r="E147" s="43"/>
      <c r="F147" s="43"/>
      <c r="G147" s="47"/>
      <c r="H147" s="47"/>
      <c r="I147" s="26"/>
      <c r="J147" s="48"/>
      <c r="K147" s="26"/>
      <c r="L147" s="26"/>
      <c r="M147" s="49"/>
      <c r="N147" s="49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9.5" customHeight="1">
      <c r="A148" s="26"/>
      <c r="B148" s="26"/>
      <c r="C148" s="43"/>
      <c r="D148" s="43"/>
      <c r="E148" s="43"/>
      <c r="F148" s="43"/>
      <c r="G148" s="47"/>
      <c r="H148" s="47"/>
      <c r="I148" s="26"/>
      <c r="J148" s="48"/>
      <c r="K148" s="26"/>
      <c r="L148" s="26"/>
      <c r="M148" s="49"/>
      <c r="N148" s="49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9.5" customHeight="1">
      <c r="A149" s="26"/>
      <c r="B149" s="26"/>
      <c r="C149" s="43"/>
      <c r="D149" s="43"/>
      <c r="E149" s="43"/>
      <c r="F149" s="43"/>
      <c r="G149" s="47"/>
      <c r="H149" s="47"/>
      <c r="I149" s="26"/>
      <c r="J149" s="48"/>
      <c r="K149" s="26"/>
      <c r="L149" s="26"/>
      <c r="M149" s="49"/>
      <c r="N149" s="49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9.5" customHeight="1">
      <c r="A150" s="26"/>
      <c r="B150" s="26"/>
      <c r="C150" s="43"/>
      <c r="D150" s="43"/>
      <c r="E150" s="43"/>
      <c r="F150" s="43"/>
      <c r="G150" s="47"/>
      <c r="H150" s="47"/>
      <c r="I150" s="26"/>
      <c r="J150" s="48"/>
      <c r="K150" s="26"/>
      <c r="L150" s="26"/>
      <c r="M150" s="49"/>
      <c r="N150" s="49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9.5" customHeight="1">
      <c r="A151" s="26"/>
      <c r="B151" s="26"/>
      <c r="C151" s="43"/>
      <c r="D151" s="43"/>
      <c r="E151" s="43"/>
      <c r="F151" s="43"/>
      <c r="G151" s="47"/>
      <c r="H151" s="47"/>
      <c r="I151" s="26"/>
      <c r="J151" s="48"/>
      <c r="K151" s="26"/>
      <c r="L151" s="26"/>
      <c r="M151" s="49"/>
      <c r="N151" s="49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9.5" customHeight="1">
      <c r="A152" s="26"/>
      <c r="B152" s="26"/>
      <c r="C152" s="43"/>
      <c r="D152" s="43"/>
      <c r="E152" s="43"/>
      <c r="F152" s="43"/>
      <c r="G152" s="47"/>
      <c r="H152" s="47"/>
      <c r="I152" s="26"/>
      <c r="J152" s="48"/>
      <c r="K152" s="26"/>
      <c r="L152" s="26"/>
      <c r="M152" s="49"/>
      <c r="N152" s="49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9.5" customHeight="1">
      <c r="A153" s="26"/>
      <c r="B153" s="26"/>
      <c r="C153" s="43"/>
      <c r="D153" s="43"/>
      <c r="E153" s="43"/>
      <c r="F153" s="43"/>
      <c r="G153" s="47"/>
      <c r="H153" s="47"/>
      <c r="I153" s="26"/>
      <c r="J153" s="48"/>
      <c r="K153" s="26"/>
      <c r="L153" s="26"/>
      <c r="M153" s="49"/>
      <c r="N153" s="49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9.5" customHeight="1">
      <c r="A154" s="26"/>
      <c r="B154" s="26"/>
      <c r="C154" s="43"/>
      <c r="D154" s="43"/>
      <c r="E154" s="43"/>
      <c r="F154" s="43"/>
      <c r="G154" s="47"/>
      <c r="H154" s="47"/>
      <c r="I154" s="26"/>
      <c r="J154" s="48"/>
      <c r="K154" s="26"/>
      <c r="L154" s="26"/>
      <c r="M154" s="49"/>
      <c r="N154" s="49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9.5" customHeight="1">
      <c r="A155" s="26"/>
      <c r="B155" s="26"/>
      <c r="C155" s="43"/>
      <c r="D155" s="43"/>
      <c r="E155" s="43"/>
      <c r="F155" s="43"/>
      <c r="G155" s="47"/>
      <c r="H155" s="47"/>
      <c r="I155" s="26"/>
      <c r="J155" s="48"/>
      <c r="K155" s="26"/>
      <c r="L155" s="26"/>
      <c r="M155" s="49"/>
      <c r="N155" s="49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9.5" customHeight="1">
      <c r="A156" s="26"/>
      <c r="B156" s="26"/>
      <c r="C156" s="43"/>
      <c r="D156" s="43"/>
      <c r="E156" s="43"/>
      <c r="F156" s="43"/>
      <c r="G156" s="47"/>
      <c r="H156" s="47"/>
      <c r="I156" s="26"/>
      <c r="J156" s="48"/>
      <c r="K156" s="26"/>
      <c r="L156" s="26"/>
      <c r="M156" s="49"/>
      <c r="N156" s="49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9.5" customHeight="1">
      <c r="A157" s="26"/>
      <c r="B157" s="26"/>
      <c r="C157" s="43"/>
      <c r="D157" s="43"/>
      <c r="E157" s="43"/>
      <c r="F157" s="43"/>
      <c r="G157" s="47"/>
      <c r="H157" s="47"/>
      <c r="I157" s="26"/>
      <c r="J157" s="48"/>
      <c r="K157" s="26"/>
      <c r="L157" s="26"/>
      <c r="M157" s="49"/>
      <c r="N157" s="49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9.5" customHeight="1">
      <c r="A158" s="26"/>
      <c r="B158" s="26"/>
      <c r="C158" s="43"/>
      <c r="D158" s="43"/>
      <c r="E158" s="43"/>
      <c r="F158" s="43"/>
      <c r="G158" s="47"/>
      <c r="H158" s="47"/>
      <c r="I158" s="26"/>
      <c r="J158" s="48"/>
      <c r="K158" s="26"/>
      <c r="L158" s="26"/>
      <c r="M158" s="49"/>
      <c r="N158" s="49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9.5" customHeight="1">
      <c r="A159" s="26"/>
      <c r="B159" s="26"/>
      <c r="C159" s="43"/>
      <c r="D159" s="43"/>
      <c r="E159" s="43"/>
      <c r="F159" s="43"/>
      <c r="G159" s="47"/>
      <c r="H159" s="47"/>
      <c r="I159" s="26"/>
      <c r="J159" s="48"/>
      <c r="K159" s="26"/>
      <c r="L159" s="26"/>
      <c r="M159" s="49"/>
      <c r="N159" s="49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9.5" customHeight="1">
      <c r="A160" s="26"/>
      <c r="B160" s="26"/>
      <c r="C160" s="43"/>
      <c r="D160" s="43"/>
      <c r="E160" s="43"/>
      <c r="F160" s="43"/>
      <c r="G160" s="47"/>
      <c r="H160" s="47"/>
      <c r="I160" s="26"/>
      <c r="J160" s="48"/>
      <c r="K160" s="26"/>
      <c r="L160" s="26"/>
      <c r="M160" s="49"/>
      <c r="N160" s="49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9.5" customHeight="1">
      <c r="A161" s="26"/>
      <c r="B161" s="26"/>
      <c r="C161" s="43"/>
      <c r="D161" s="43"/>
      <c r="E161" s="43"/>
      <c r="F161" s="43"/>
      <c r="G161" s="47"/>
      <c r="H161" s="47"/>
      <c r="I161" s="26"/>
      <c r="J161" s="48"/>
      <c r="K161" s="26"/>
      <c r="L161" s="26"/>
      <c r="M161" s="49"/>
      <c r="N161" s="49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9.5" customHeight="1">
      <c r="A162" s="26"/>
      <c r="B162" s="26"/>
      <c r="C162" s="43"/>
      <c r="D162" s="43"/>
      <c r="E162" s="43"/>
      <c r="F162" s="43"/>
      <c r="G162" s="47"/>
      <c r="H162" s="47"/>
      <c r="I162" s="26"/>
      <c r="J162" s="48"/>
      <c r="K162" s="26"/>
      <c r="L162" s="26"/>
      <c r="M162" s="49"/>
      <c r="N162" s="49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9.5" customHeight="1">
      <c r="A163" s="26"/>
      <c r="B163" s="26"/>
      <c r="C163" s="43"/>
      <c r="D163" s="43"/>
      <c r="E163" s="43"/>
      <c r="F163" s="43"/>
      <c r="G163" s="47"/>
      <c r="H163" s="47"/>
      <c r="I163" s="26"/>
      <c r="J163" s="48"/>
      <c r="K163" s="26"/>
      <c r="L163" s="26"/>
      <c r="M163" s="49"/>
      <c r="N163" s="49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9.5" customHeight="1">
      <c r="A164" s="26"/>
      <c r="B164" s="26"/>
      <c r="C164" s="43"/>
      <c r="D164" s="43"/>
      <c r="E164" s="43"/>
      <c r="F164" s="43"/>
      <c r="G164" s="47"/>
      <c r="H164" s="47"/>
      <c r="I164" s="26"/>
      <c r="J164" s="48"/>
      <c r="K164" s="26"/>
      <c r="L164" s="26"/>
      <c r="M164" s="49"/>
      <c r="N164" s="49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9.5" customHeight="1">
      <c r="A165" s="26"/>
      <c r="B165" s="26"/>
      <c r="C165" s="43"/>
      <c r="D165" s="43"/>
      <c r="E165" s="43"/>
      <c r="F165" s="43"/>
      <c r="G165" s="47"/>
      <c r="H165" s="47"/>
      <c r="I165" s="26"/>
      <c r="J165" s="48"/>
      <c r="K165" s="26"/>
      <c r="L165" s="26"/>
      <c r="M165" s="49"/>
      <c r="N165" s="49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9.5" customHeight="1">
      <c r="A166" s="26"/>
      <c r="B166" s="26"/>
      <c r="C166" s="43"/>
      <c r="D166" s="43"/>
      <c r="E166" s="43"/>
      <c r="F166" s="43"/>
      <c r="G166" s="47"/>
      <c r="H166" s="47"/>
      <c r="I166" s="26"/>
      <c r="J166" s="48"/>
      <c r="K166" s="26"/>
      <c r="L166" s="26"/>
      <c r="M166" s="49"/>
      <c r="N166" s="49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9.5" customHeight="1">
      <c r="A167" s="26"/>
      <c r="B167" s="26"/>
      <c r="C167" s="43"/>
      <c r="D167" s="43"/>
      <c r="E167" s="43"/>
      <c r="F167" s="43"/>
      <c r="G167" s="47"/>
      <c r="H167" s="47"/>
      <c r="I167" s="26"/>
      <c r="J167" s="48"/>
      <c r="K167" s="26"/>
      <c r="L167" s="26"/>
      <c r="M167" s="49"/>
      <c r="N167" s="49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9.5" customHeight="1">
      <c r="A168" s="26"/>
      <c r="B168" s="26"/>
      <c r="C168" s="43"/>
      <c r="D168" s="43"/>
      <c r="E168" s="43"/>
      <c r="F168" s="43"/>
      <c r="G168" s="47"/>
      <c r="H168" s="47"/>
      <c r="I168" s="26"/>
      <c r="J168" s="48"/>
      <c r="K168" s="26"/>
      <c r="L168" s="26"/>
      <c r="M168" s="49"/>
      <c r="N168" s="49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9.5" customHeight="1">
      <c r="A169" s="26"/>
      <c r="B169" s="26"/>
      <c r="C169" s="43"/>
      <c r="D169" s="43"/>
      <c r="E169" s="43"/>
      <c r="F169" s="43"/>
      <c r="G169" s="47"/>
      <c r="H169" s="47"/>
      <c r="I169" s="26"/>
      <c r="J169" s="48"/>
      <c r="K169" s="26"/>
      <c r="L169" s="26"/>
      <c r="M169" s="49"/>
      <c r="N169" s="49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9.5" customHeight="1">
      <c r="A170" s="26"/>
      <c r="B170" s="26"/>
      <c r="C170" s="43"/>
      <c r="D170" s="43"/>
      <c r="E170" s="43"/>
      <c r="F170" s="43"/>
      <c r="G170" s="47"/>
      <c r="H170" s="47"/>
      <c r="I170" s="26"/>
      <c r="J170" s="48"/>
      <c r="K170" s="26"/>
      <c r="L170" s="26"/>
      <c r="M170" s="49"/>
      <c r="N170" s="49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9.5" customHeight="1">
      <c r="A171" s="26"/>
      <c r="B171" s="26"/>
      <c r="C171" s="43"/>
      <c r="D171" s="43"/>
      <c r="E171" s="43"/>
      <c r="F171" s="43"/>
      <c r="G171" s="47"/>
      <c r="H171" s="47"/>
      <c r="I171" s="26"/>
      <c r="J171" s="48"/>
      <c r="K171" s="26"/>
      <c r="L171" s="26"/>
      <c r="M171" s="49"/>
      <c r="N171" s="49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9.5" customHeight="1">
      <c r="A172" s="26"/>
      <c r="B172" s="26"/>
      <c r="C172" s="43"/>
      <c r="D172" s="43"/>
      <c r="E172" s="43"/>
      <c r="F172" s="43"/>
      <c r="G172" s="47"/>
      <c r="H172" s="47"/>
      <c r="I172" s="26"/>
      <c r="J172" s="48"/>
      <c r="K172" s="26"/>
      <c r="L172" s="26"/>
      <c r="M172" s="49"/>
      <c r="N172" s="49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9.5" customHeight="1">
      <c r="A173" s="26"/>
      <c r="B173" s="26"/>
      <c r="C173" s="43"/>
      <c r="D173" s="43"/>
      <c r="E173" s="43"/>
      <c r="F173" s="43"/>
      <c r="G173" s="47"/>
      <c r="H173" s="47"/>
      <c r="I173" s="26"/>
      <c r="J173" s="48"/>
      <c r="K173" s="26"/>
      <c r="L173" s="26"/>
      <c r="M173" s="49"/>
      <c r="N173" s="49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9.5" customHeight="1">
      <c r="A174" s="26"/>
      <c r="B174" s="26"/>
      <c r="C174" s="43"/>
      <c r="D174" s="43"/>
      <c r="E174" s="43"/>
      <c r="F174" s="43"/>
      <c r="G174" s="47"/>
      <c r="H174" s="47"/>
      <c r="I174" s="26"/>
      <c r="J174" s="48"/>
      <c r="K174" s="26"/>
      <c r="L174" s="26"/>
      <c r="M174" s="49"/>
      <c r="N174" s="49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9.5" customHeight="1">
      <c r="A175" s="26"/>
      <c r="B175" s="26"/>
      <c r="C175" s="43"/>
      <c r="D175" s="43"/>
      <c r="E175" s="43"/>
      <c r="F175" s="43"/>
      <c r="G175" s="47"/>
      <c r="H175" s="47"/>
      <c r="I175" s="26"/>
      <c r="J175" s="48"/>
      <c r="K175" s="26"/>
      <c r="L175" s="26"/>
      <c r="M175" s="49"/>
      <c r="N175" s="49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9.5" customHeight="1">
      <c r="A176" s="26"/>
      <c r="B176" s="26"/>
      <c r="C176" s="43"/>
      <c r="D176" s="43"/>
      <c r="E176" s="43"/>
      <c r="F176" s="43"/>
      <c r="G176" s="47"/>
      <c r="H176" s="47"/>
      <c r="I176" s="26"/>
      <c r="J176" s="48"/>
      <c r="K176" s="26"/>
      <c r="L176" s="26"/>
      <c r="M176" s="49"/>
      <c r="N176" s="49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9.5" customHeight="1">
      <c r="A177" s="26"/>
      <c r="B177" s="26"/>
      <c r="C177" s="43"/>
      <c r="D177" s="43"/>
      <c r="E177" s="43"/>
      <c r="F177" s="43"/>
      <c r="G177" s="47"/>
      <c r="H177" s="47"/>
      <c r="I177" s="26"/>
      <c r="J177" s="48"/>
      <c r="K177" s="26"/>
      <c r="L177" s="26"/>
      <c r="M177" s="49"/>
      <c r="N177" s="49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9.5" customHeight="1">
      <c r="A178" s="26"/>
      <c r="B178" s="26"/>
      <c r="C178" s="43"/>
      <c r="D178" s="43"/>
      <c r="E178" s="43"/>
      <c r="F178" s="43"/>
      <c r="G178" s="47"/>
      <c r="H178" s="47"/>
      <c r="I178" s="26"/>
      <c r="J178" s="48"/>
      <c r="K178" s="26"/>
      <c r="L178" s="26"/>
      <c r="M178" s="49"/>
      <c r="N178" s="49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9.5" customHeight="1">
      <c r="A179" s="26"/>
      <c r="B179" s="26"/>
      <c r="C179" s="43"/>
      <c r="D179" s="43"/>
      <c r="E179" s="43"/>
      <c r="F179" s="43"/>
      <c r="G179" s="47"/>
      <c r="H179" s="47"/>
      <c r="I179" s="26"/>
      <c r="J179" s="48"/>
      <c r="K179" s="26"/>
      <c r="L179" s="26"/>
      <c r="M179" s="49"/>
      <c r="N179" s="49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9.5" customHeight="1">
      <c r="A180" s="26"/>
      <c r="B180" s="26"/>
      <c r="C180" s="43"/>
      <c r="D180" s="43"/>
      <c r="E180" s="43"/>
      <c r="F180" s="43"/>
      <c r="G180" s="47"/>
      <c r="H180" s="47"/>
      <c r="I180" s="26"/>
      <c r="J180" s="48"/>
      <c r="K180" s="26"/>
      <c r="L180" s="26"/>
      <c r="M180" s="49"/>
      <c r="N180" s="49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9.5" customHeight="1">
      <c r="A181" s="26"/>
      <c r="B181" s="26"/>
      <c r="C181" s="43"/>
      <c r="D181" s="43"/>
      <c r="E181" s="43"/>
      <c r="F181" s="43"/>
      <c r="G181" s="47"/>
      <c r="H181" s="47"/>
      <c r="I181" s="26"/>
      <c r="J181" s="48"/>
      <c r="K181" s="26"/>
      <c r="L181" s="26"/>
      <c r="M181" s="49"/>
      <c r="N181" s="49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9.5" customHeight="1">
      <c r="A182" s="26"/>
      <c r="B182" s="26"/>
      <c r="C182" s="43"/>
      <c r="D182" s="43"/>
      <c r="E182" s="43"/>
      <c r="F182" s="43"/>
      <c r="G182" s="47"/>
      <c r="H182" s="47"/>
      <c r="I182" s="26"/>
      <c r="J182" s="48"/>
      <c r="K182" s="26"/>
      <c r="L182" s="26"/>
      <c r="M182" s="49"/>
      <c r="N182" s="49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9.5" customHeight="1">
      <c r="A183" s="26"/>
      <c r="B183" s="26"/>
      <c r="C183" s="43"/>
      <c r="D183" s="43"/>
      <c r="E183" s="43"/>
      <c r="F183" s="43"/>
      <c r="G183" s="47"/>
      <c r="H183" s="47"/>
      <c r="I183" s="26"/>
      <c r="J183" s="48"/>
      <c r="K183" s="26"/>
      <c r="L183" s="26"/>
      <c r="M183" s="49"/>
      <c r="N183" s="49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9.5" customHeight="1">
      <c r="A184" s="26"/>
      <c r="B184" s="26"/>
      <c r="C184" s="43"/>
      <c r="D184" s="43"/>
      <c r="E184" s="43"/>
      <c r="F184" s="43"/>
      <c r="G184" s="47"/>
      <c r="H184" s="47"/>
      <c r="I184" s="26"/>
      <c r="J184" s="48"/>
      <c r="K184" s="26"/>
      <c r="L184" s="26"/>
      <c r="M184" s="49"/>
      <c r="N184" s="49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9.5" customHeight="1">
      <c r="A185" s="26"/>
      <c r="B185" s="26"/>
      <c r="C185" s="43"/>
      <c r="D185" s="43"/>
      <c r="E185" s="43"/>
      <c r="F185" s="43"/>
      <c r="G185" s="47"/>
      <c r="H185" s="47"/>
      <c r="I185" s="26"/>
      <c r="J185" s="48"/>
      <c r="K185" s="26"/>
      <c r="L185" s="26"/>
      <c r="M185" s="49"/>
      <c r="N185" s="49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9.5" customHeight="1">
      <c r="A186" s="26"/>
      <c r="B186" s="26"/>
      <c r="C186" s="43"/>
      <c r="D186" s="43"/>
      <c r="E186" s="43"/>
      <c r="F186" s="43"/>
      <c r="G186" s="47"/>
      <c r="H186" s="47"/>
      <c r="I186" s="26"/>
      <c r="J186" s="48"/>
      <c r="K186" s="26"/>
      <c r="L186" s="26"/>
      <c r="M186" s="49"/>
      <c r="N186" s="49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9.5" customHeight="1">
      <c r="A187" s="26"/>
      <c r="B187" s="26"/>
      <c r="C187" s="43"/>
      <c r="D187" s="43"/>
      <c r="E187" s="43"/>
      <c r="F187" s="43"/>
      <c r="G187" s="47"/>
      <c r="H187" s="47"/>
      <c r="I187" s="26"/>
      <c r="J187" s="48"/>
      <c r="K187" s="26"/>
      <c r="L187" s="26"/>
      <c r="M187" s="49"/>
      <c r="N187" s="49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9.5" customHeight="1">
      <c r="A188" s="26"/>
      <c r="B188" s="26"/>
      <c r="C188" s="43"/>
      <c r="D188" s="43"/>
      <c r="E188" s="43"/>
      <c r="F188" s="43"/>
      <c r="G188" s="47"/>
      <c r="H188" s="47"/>
      <c r="I188" s="26"/>
      <c r="J188" s="48"/>
      <c r="K188" s="26"/>
      <c r="L188" s="26"/>
      <c r="M188" s="49"/>
      <c r="N188" s="49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9.5" customHeight="1">
      <c r="A189" s="26"/>
      <c r="B189" s="26"/>
      <c r="C189" s="43"/>
      <c r="D189" s="43"/>
      <c r="E189" s="43"/>
      <c r="F189" s="43"/>
      <c r="G189" s="47"/>
      <c r="H189" s="47"/>
      <c r="I189" s="26"/>
      <c r="J189" s="48"/>
      <c r="K189" s="26"/>
      <c r="L189" s="26"/>
      <c r="M189" s="49"/>
      <c r="N189" s="49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9.5" customHeight="1">
      <c r="A190" s="26"/>
      <c r="B190" s="26"/>
      <c r="C190" s="43"/>
      <c r="D190" s="43"/>
      <c r="E190" s="43"/>
      <c r="F190" s="43"/>
      <c r="G190" s="47"/>
      <c r="H190" s="47"/>
      <c r="I190" s="26"/>
      <c r="J190" s="48"/>
      <c r="K190" s="26"/>
      <c r="L190" s="26"/>
      <c r="M190" s="49"/>
      <c r="N190" s="49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9.5" customHeight="1">
      <c r="A191" s="26"/>
      <c r="B191" s="26"/>
      <c r="C191" s="43"/>
      <c r="D191" s="43"/>
      <c r="E191" s="43"/>
      <c r="F191" s="43"/>
      <c r="G191" s="47"/>
      <c r="H191" s="47"/>
      <c r="I191" s="26"/>
      <c r="J191" s="48"/>
      <c r="K191" s="26"/>
      <c r="L191" s="26"/>
      <c r="M191" s="49"/>
      <c r="N191" s="49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9.5" customHeight="1">
      <c r="A192" s="26"/>
      <c r="B192" s="26"/>
      <c r="C192" s="43"/>
      <c r="D192" s="43"/>
      <c r="E192" s="43"/>
      <c r="F192" s="43"/>
      <c r="G192" s="47"/>
      <c r="H192" s="47"/>
      <c r="I192" s="26"/>
      <c r="J192" s="48"/>
      <c r="K192" s="26"/>
      <c r="L192" s="26"/>
      <c r="M192" s="49"/>
      <c r="N192" s="49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9.5" customHeight="1">
      <c r="A193" s="26"/>
      <c r="B193" s="26"/>
      <c r="C193" s="43"/>
      <c r="D193" s="43"/>
      <c r="E193" s="43"/>
      <c r="F193" s="43"/>
      <c r="G193" s="47"/>
      <c r="H193" s="47"/>
      <c r="I193" s="26"/>
      <c r="J193" s="48"/>
      <c r="K193" s="26"/>
      <c r="L193" s="26"/>
      <c r="M193" s="49"/>
      <c r="N193" s="49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9.5" customHeight="1">
      <c r="A194" s="26"/>
      <c r="B194" s="26"/>
      <c r="C194" s="43"/>
      <c r="D194" s="43"/>
      <c r="E194" s="43"/>
      <c r="F194" s="43"/>
      <c r="G194" s="47"/>
      <c r="H194" s="47"/>
      <c r="I194" s="26"/>
      <c r="J194" s="48"/>
      <c r="K194" s="26"/>
      <c r="L194" s="26"/>
      <c r="M194" s="49"/>
      <c r="N194" s="49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9.5" customHeight="1">
      <c r="A195" s="26"/>
      <c r="B195" s="26"/>
      <c r="C195" s="43"/>
      <c r="D195" s="43"/>
      <c r="E195" s="43"/>
      <c r="F195" s="43"/>
      <c r="G195" s="47"/>
      <c r="H195" s="47"/>
      <c r="I195" s="26"/>
      <c r="J195" s="48"/>
      <c r="K195" s="26"/>
      <c r="L195" s="26"/>
      <c r="M195" s="49"/>
      <c r="N195" s="49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9.5" customHeight="1">
      <c r="A196" s="26"/>
      <c r="B196" s="26"/>
      <c r="C196" s="43"/>
      <c r="D196" s="43"/>
      <c r="E196" s="43"/>
      <c r="F196" s="43"/>
      <c r="G196" s="47"/>
      <c r="H196" s="47"/>
      <c r="I196" s="26"/>
      <c r="J196" s="48"/>
      <c r="K196" s="26"/>
      <c r="L196" s="26"/>
      <c r="M196" s="49"/>
      <c r="N196" s="49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9.5" customHeight="1">
      <c r="A197" s="26"/>
      <c r="B197" s="26"/>
      <c r="C197" s="43"/>
      <c r="D197" s="43"/>
      <c r="E197" s="43"/>
      <c r="F197" s="43"/>
      <c r="G197" s="47"/>
      <c r="H197" s="47"/>
      <c r="I197" s="26"/>
      <c r="J197" s="48"/>
      <c r="K197" s="26"/>
      <c r="L197" s="26"/>
      <c r="M197" s="49"/>
      <c r="N197" s="49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9.5" customHeight="1">
      <c r="A198" s="26"/>
      <c r="B198" s="26"/>
      <c r="C198" s="43"/>
      <c r="D198" s="43"/>
      <c r="E198" s="43"/>
      <c r="F198" s="43"/>
      <c r="G198" s="47"/>
      <c r="H198" s="47"/>
      <c r="I198" s="26"/>
      <c r="J198" s="48"/>
      <c r="K198" s="26"/>
      <c r="L198" s="26"/>
      <c r="M198" s="49"/>
      <c r="N198" s="49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9.5" customHeight="1">
      <c r="A199" s="26"/>
      <c r="B199" s="26"/>
      <c r="C199" s="43"/>
      <c r="D199" s="43"/>
      <c r="E199" s="43"/>
      <c r="F199" s="43"/>
      <c r="G199" s="47"/>
      <c r="H199" s="47"/>
      <c r="I199" s="26"/>
      <c r="J199" s="48"/>
      <c r="K199" s="26"/>
      <c r="L199" s="26"/>
      <c r="M199" s="49"/>
      <c r="N199" s="49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9.5" customHeight="1">
      <c r="A200" s="26"/>
      <c r="B200" s="26"/>
      <c r="C200" s="43"/>
      <c r="D200" s="43"/>
      <c r="E200" s="43"/>
      <c r="F200" s="43"/>
      <c r="G200" s="47"/>
      <c r="H200" s="47"/>
      <c r="I200" s="26"/>
      <c r="J200" s="48"/>
      <c r="K200" s="26"/>
      <c r="L200" s="26"/>
      <c r="M200" s="49"/>
      <c r="N200" s="49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9.5" customHeight="1">
      <c r="A201" s="26"/>
      <c r="B201" s="26"/>
      <c r="C201" s="43"/>
      <c r="D201" s="43"/>
      <c r="E201" s="43"/>
      <c r="F201" s="43"/>
      <c r="G201" s="47"/>
      <c r="H201" s="47"/>
      <c r="I201" s="26"/>
      <c r="J201" s="48"/>
      <c r="K201" s="26"/>
      <c r="L201" s="26"/>
      <c r="M201" s="49"/>
      <c r="N201" s="49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9.5" customHeight="1">
      <c r="A202" s="26"/>
      <c r="B202" s="26"/>
      <c r="C202" s="43"/>
      <c r="D202" s="43"/>
      <c r="E202" s="43"/>
      <c r="F202" s="43"/>
      <c r="G202" s="47"/>
      <c r="H202" s="47"/>
      <c r="I202" s="26"/>
      <c r="J202" s="48"/>
      <c r="K202" s="26"/>
      <c r="L202" s="26"/>
      <c r="M202" s="49"/>
      <c r="N202" s="49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9.5" customHeight="1">
      <c r="A203" s="26"/>
      <c r="B203" s="26"/>
      <c r="C203" s="43"/>
      <c r="D203" s="43"/>
      <c r="E203" s="43"/>
      <c r="F203" s="43"/>
      <c r="G203" s="47"/>
      <c r="H203" s="47"/>
      <c r="I203" s="26"/>
      <c r="J203" s="48"/>
      <c r="K203" s="26"/>
      <c r="L203" s="26"/>
      <c r="M203" s="49"/>
      <c r="N203" s="49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9.5" customHeight="1">
      <c r="A204" s="26"/>
      <c r="B204" s="26"/>
      <c r="C204" s="43"/>
      <c r="D204" s="43"/>
      <c r="E204" s="43"/>
      <c r="F204" s="43"/>
      <c r="G204" s="47"/>
      <c r="H204" s="47"/>
      <c r="I204" s="26"/>
      <c r="J204" s="48"/>
      <c r="K204" s="26"/>
      <c r="L204" s="26"/>
      <c r="M204" s="49"/>
      <c r="N204" s="49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9.5" customHeight="1">
      <c r="A205" s="26"/>
      <c r="B205" s="26"/>
      <c r="C205" s="43"/>
      <c r="D205" s="43"/>
      <c r="E205" s="43"/>
      <c r="F205" s="43"/>
      <c r="G205" s="47"/>
      <c r="H205" s="47"/>
      <c r="I205" s="26"/>
      <c r="J205" s="48"/>
      <c r="K205" s="26"/>
      <c r="L205" s="26"/>
      <c r="M205" s="49"/>
      <c r="N205" s="49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9.5" customHeight="1">
      <c r="A206" s="26"/>
      <c r="B206" s="26"/>
      <c r="C206" s="43"/>
      <c r="D206" s="43"/>
      <c r="E206" s="43"/>
      <c r="F206" s="43"/>
      <c r="G206" s="47"/>
      <c r="H206" s="47"/>
      <c r="I206" s="26"/>
      <c r="J206" s="48"/>
      <c r="K206" s="26"/>
      <c r="L206" s="26"/>
      <c r="M206" s="49"/>
      <c r="N206" s="49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9.5" customHeight="1">
      <c r="A207" s="26"/>
      <c r="B207" s="26"/>
      <c r="C207" s="43"/>
      <c r="D207" s="43"/>
      <c r="E207" s="43"/>
      <c r="F207" s="43"/>
      <c r="G207" s="47"/>
      <c r="H207" s="47"/>
      <c r="I207" s="26"/>
      <c r="J207" s="48"/>
      <c r="K207" s="26"/>
      <c r="L207" s="26"/>
      <c r="M207" s="49"/>
      <c r="N207" s="49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9.5" customHeight="1">
      <c r="A208" s="26"/>
      <c r="B208" s="26"/>
      <c r="C208" s="43"/>
      <c r="D208" s="43"/>
      <c r="E208" s="43"/>
      <c r="F208" s="43"/>
      <c r="G208" s="47"/>
      <c r="H208" s="47"/>
      <c r="I208" s="26"/>
      <c r="J208" s="48"/>
      <c r="K208" s="26"/>
      <c r="L208" s="26"/>
      <c r="M208" s="49"/>
      <c r="N208" s="49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9.5" customHeight="1">
      <c r="A209" s="26"/>
      <c r="B209" s="26"/>
      <c r="C209" s="43"/>
      <c r="D209" s="43"/>
      <c r="E209" s="43"/>
      <c r="F209" s="43"/>
      <c r="G209" s="47"/>
      <c r="H209" s="47"/>
      <c r="I209" s="26"/>
      <c r="J209" s="48"/>
      <c r="K209" s="26"/>
      <c r="L209" s="26"/>
      <c r="M209" s="49"/>
      <c r="N209" s="49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9.5" customHeight="1">
      <c r="A210" s="26"/>
      <c r="B210" s="26"/>
      <c r="C210" s="43"/>
      <c r="D210" s="43"/>
      <c r="E210" s="43"/>
      <c r="F210" s="43"/>
      <c r="G210" s="47"/>
      <c r="H210" s="47"/>
      <c r="I210" s="26"/>
      <c r="J210" s="48"/>
      <c r="K210" s="26"/>
      <c r="L210" s="26"/>
      <c r="M210" s="49"/>
      <c r="N210" s="49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9.5" customHeight="1">
      <c r="A211" s="26"/>
      <c r="B211" s="26"/>
      <c r="C211" s="43"/>
      <c r="D211" s="43"/>
      <c r="E211" s="43"/>
      <c r="F211" s="43"/>
      <c r="G211" s="47"/>
      <c r="H211" s="47"/>
      <c r="I211" s="26"/>
      <c r="J211" s="48"/>
      <c r="K211" s="26"/>
      <c r="L211" s="26"/>
      <c r="M211" s="49"/>
      <c r="N211" s="49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9.5" customHeight="1">
      <c r="A212" s="26"/>
      <c r="B212" s="26"/>
      <c r="C212" s="43"/>
      <c r="D212" s="43"/>
      <c r="E212" s="43"/>
      <c r="F212" s="43"/>
      <c r="G212" s="47"/>
      <c r="H212" s="47"/>
      <c r="I212" s="26"/>
      <c r="J212" s="48"/>
      <c r="K212" s="26"/>
      <c r="L212" s="26"/>
      <c r="M212" s="49"/>
      <c r="N212" s="49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9.5" customHeight="1">
      <c r="A213" s="26"/>
      <c r="B213" s="26"/>
      <c r="C213" s="43"/>
      <c r="D213" s="43"/>
      <c r="E213" s="43"/>
      <c r="F213" s="43"/>
      <c r="G213" s="47"/>
      <c r="H213" s="47"/>
      <c r="I213" s="26"/>
      <c r="J213" s="48"/>
      <c r="K213" s="26"/>
      <c r="L213" s="26"/>
      <c r="M213" s="49"/>
      <c r="N213" s="49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9.5" customHeight="1">
      <c r="A214" s="26"/>
      <c r="B214" s="26"/>
      <c r="C214" s="43"/>
      <c r="D214" s="43"/>
      <c r="E214" s="43"/>
      <c r="F214" s="43"/>
      <c r="G214" s="47"/>
      <c r="H214" s="47"/>
      <c r="I214" s="26"/>
      <c r="J214" s="48"/>
      <c r="K214" s="26"/>
      <c r="L214" s="26"/>
      <c r="M214" s="49"/>
      <c r="N214" s="49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9.5" customHeight="1">
      <c r="A215" s="26"/>
      <c r="B215" s="26"/>
      <c r="C215" s="43"/>
      <c r="D215" s="43"/>
      <c r="E215" s="43"/>
      <c r="F215" s="43"/>
      <c r="G215" s="47"/>
      <c r="H215" s="47"/>
      <c r="I215" s="26"/>
      <c r="J215" s="48"/>
      <c r="K215" s="26"/>
      <c r="L215" s="26"/>
      <c r="M215" s="49"/>
      <c r="N215" s="49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9.5" customHeight="1">
      <c r="A216" s="26"/>
      <c r="B216" s="26"/>
      <c r="C216" s="43"/>
      <c r="D216" s="43"/>
      <c r="E216" s="43"/>
      <c r="F216" s="43"/>
      <c r="G216" s="47"/>
      <c r="H216" s="47"/>
      <c r="I216" s="26"/>
      <c r="J216" s="48"/>
      <c r="K216" s="26"/>
      <c r="L216" s="26"/>
      <c r="M216" s="49"/>
      <c r="N216" s="49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9.5" customHeight="1">
      <c r="A217" s="26"/>
      <c r="B217" s="26"/>
      <c r="C217" s="43"/>
      <c r="D217" s="43"/>
      <c r="E217" s="43"/>
      <c r="F217" s="43"/>
      <c r="G217" s="47"/>
      <c r="H217" s="47"/>
      <c r="I217" s="26"/>
      <c r="J217" s="48"/>
      <c r="K217" s="26"/>
      <c r="L217" s="26"/>
      <c r="M217" s="49"/>
      <c r="N217" s="49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9.5" customHeight="1">
      <c r="A218" s="26"/>
      <c r="B218" s="26"/>
      <c r="C218" s="43"/>
      <c r="D218" s="43"/>
      <c r="E218" s="43"/>
      <c r="F218" s="43"/>
      <c r="G218" s="47"/>
      <c r="H218" s="47"/>
      <c r="I218" s="26"/>
      <c r="J218" s="48"/>
      <c r="K218" s="26"/>
      <c r="L218" s="26"/>
      <c r="M218" s="49"/>
      <c r="N218" s="49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9.5" customHeight="1">
      <c r="A219" s="26"/>
      <c r="B219" s="26"/>
      <c r="C219" s="43"/>
      <c r="D219" s="43"/>
      <c r="E219" s="43"/>
      <c r="F219" s="43"/>
      <c r="G219" s="47"/>
      <c r="H219" s="47"/>
      <c r="I219" s="26"/>
      <c r="J219" s="48"/>
      <c r="K219" s="26"/>
      <c r="L219" s="26"/>
      <c r="M219" s="49"/>
      <c r="N219" s="49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9.5" customHeight="1">
      <c r="A220" s="26"/>
      <c r="B220" s="26"/>
      <c r="C220" s="43"/>
      <c r="D220" s="43"/>
      <c r="E220" s="43"/>
      <c r="F220" s="43"/>
      <c r="G220" s="47"/>
      <c r="H220" s="47"/>
      <c r="I220" s="26"/>
      <c r="J220" s="48"/>
      <c r="K220" s="26"/>
      <c r="L220" s="26"/>
      <c r="M220" s="49"/>
      <c r="N220" s="49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9.5" customHeight="1">
      <c r="A221" s="26"/>
      <c r="B221" s="26"/>
      <c r="C221" s="43"/>
      <c r="D221" s="43"/>
      <c r="E221" s="43"/>
      <c r="F221" s="43"/>
      <c r="G221" s="47"/>
      <c r="H221" s="47"/>
      <c r="I221" s="26"/>
      <c r="J221" s="48"/>
      <c r="K221" s="26"/>
      <c r="L221" s="26"/>
      <c r="M221" s="49"/>
      <c r="N221" s="49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9.5" customHeight="1">
      <c r="A222" s="26"/>
      <c r="B222" s="26"/>
      <c r="C222" s="43"/>
      <c r="D222" s="43"/>
      <c r="E222" s="43"/>
      <c r="F222" s="43"/>
      <c r="G222" s="47"/>
      <c r="H222" s="47"/>
      <c r="I222" s="26"/>
      <c r="J222" s="48"/>
      <c r="K222" s="26"/>
      <c r="L222" s="26"/>
      <c r="M222" s="49"/>
      <c r="N222" s="49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9.5" customHeight="1">
      <c r="A223" s="26"/>
      <c r="B223" s="26"/>
      <c r="C223" s="43"/>
      <c r="D223" s="43"/>
      <c r="E223" s="43"/>
      <c r="F223" s="43"/>
      <c r="G223" s="47"/>
      <c r="H223" s="47"/>
      <c r="I223" s="26"/>
      <c r="J223" s="48"/>
      <c r="K223" s="26"/>
      <c r="L223" s="26"/>
      <c r="M223" s="49"/>
      <c r="N223" s="49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9.5" customHeight="1">
      <c r="A224" s="26"/>
      <c r="B224" s="26"/>
      <c r="C224" s="43"/>
      <c r="D224" s="43"/>
      <c r="E224" s="43"/>
      <c r="F224" s="43"/>
      <c r="G224" s="47"/>
      <c r="H224" s="47"/>
      <c r="I224" s="26"/>
      <c r="J224" s="48"/>
      <c r="K224" s="26"/>
      <c r="L224" s="26"/>
      <c r="M224" s="49"/>
      <c r="N224" s="49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9.5" customHeight="1">
      <c r="A225" s="26"/>
      <c r="B225" s="26"/>
      <c r="C225" s="43"/>
      <c r="D225" s="43"/>
      <c r="E225" s="43"/>
      <c r="F225" s="43"/>
      <c r="G225" s="47"/>
      <c r="H225" s="47"/>
      <c r="I225" s="26"/>
      <c r="J225" s="48"/>
      <c r="K225" s="26"/>
      <c r="L225" s="26"/>
      <c r="M225" s="49"/>
      <c r="N225" s="49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9.5" customHeight="1">
      <c r="A226" s="26"/>
      <c r="B226" s="26"/>
      <c r="C226" s="43"/>
      <c r="D226" s="43"/>
      <c r="E226" s="43"/>
      <c r="F226" s="43"/>
      <c r="G226" s="47"/>
      <c r="H226" s="47"/>
      <c r="I226" s="26"/>
      <c r="J226" s="48"/>
      <c r="K226" s="26"/>
      <c r="L226" s="26"/>
      <c r="M226" s="49"/>
      <c r="N226" s="49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9.5" customHeight="1">
      <c r="A227" s="26"/>
      <c r="B227" s="26"/>
      <c r="C227" s="43"/>
      <c r="D227" s="43"/>
      <c r="E227" s="43"/>
      <c r="F227" s="43"/>
      <c r="G227" s="47"/>
      <c r="H227" s="47"/>
      <c r="I227" s="26"/>
      <c r="J227" s="48"/>
      <c r="K227" s="26"/>
      <c r="L227" s="26"/>
      <c r="M227" s="49"/>
      <c r="N227" s="49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9.5" customHeight="1">
      <c r="A228" s="26"/>
      <c r="B228" s="26"/>
      <c r="C228" s="43"/>
      <c r="D228" s="43"/>
      <c r="E228" s="43"/>
      <c r="F228" s="43"/>
      <c r="G228" s="47"/>
      <c r="H228" s="47"/>
      <c r="I228" s="26"/>
      <c r="J228" s="48"/>
      <c r="K228" s="26"/>
      <c r="L228" s="26"/>
      <c r="M228" s="49"/>
      <c r="N228" s="49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9.5" customHeight="1">
      <c r="A229" s="26"/>
      <c r="B229" s="26"/>
      <c r="C229" s="43"/>
      <c r="D229" s="43"/>
      <c r="E229" s="43"/>
      <c r="F229" s="43"/>
      <c r="G229" s="47"/>
      <c r="H229" s="47"/>
      <c r="I229" s="26"/>
      <c r="J229" s="48"/>
      <c r="K229" s="26"/>
      <c r="L229" s="26"/>
      <c r="M229" s="49"/>
      <c r="N229" s="49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9.5" customHeight="1">
      <c r="A230" s="26"/>
      <c r="B230" s="26"/>
      <c r="C230" s="43"/>
      <c r="D230" s="43"/>
      <c r="E230" s="43"/>
      <c r="F230" s="43"/>
      <c r="G230" s="47"/>
      <c r="H230" s="47"/>
      <c r="I230" s="26"/>
      <c r="J230" s="48"/>
      <c r="K230" s="26"/>
      <c r="L230" s="26"/>
      <c r="M230" s="49"/>
      <c r="N230" s="49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9.5" customHeight="1">
      <c r="A231" s="26"/>
      <c r="B231" s="26"/>
      <c r="C231" s="43"/>
      <c r="D231" s="43"/>
      <c r="E231" s="43"/>
      <c r="F231" s="43"/>
      <c r="G231" s="47"/>
      <c r="H231" s="47"/>
      <c r="I231" s="26"/>
      <c r="J231" s="48"/>
      <c r="K231" s="26"/>
      <c r="L231" s="26"/>
      <c r="M231" s="49"/>
      <c r="N231" s="49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9.5" customHeight="1">
      <c r="A232" s="26"/>
      <c r="B232" s="26"/>
      <c r="C232" s="43"/>
      <c r="D232" s="43"/>
      <c r="E232" s="43"/>
      <c r="F232" s="43"/>
      <c r="G232" s="47"/>
      <c r="H232" s="47"/>
      <c r="I232" s="26"/>
      <c r="J232" s="48"/>
      <c r="K232" s="26"/>
      <c r="L232" s="26"/>
      <c r="M232" s="49"/>
      <c r="N232" s="49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9.5" customHeight="1">
      <c r="A233" s="26"/>
      <c r="B233" s="26"/>
      <c r="C233" s="43"/>
      <c r="D233" s="43"/>
      <c r="E233" s="43"/>
      <c r="F233" s="43"/>
      <c r="G233" s="47"/>
      <c r="H233" s="47"/>
      <c r="I233" s="26"/>
      <c r="J233" s="48"/>
      <c r="K233" s="26"/>
      <c r="L233" s="26"/>
      <c r="M233" s="49"/>
      <c r="N233" s="49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9.5" customHeight="1">
      <c r="A234" s="26"/>
      <c r="B234" s="26"/>
      <c r="C234" s="43"/>
      <c r="D234" s="43"/>
      <c r="E234" s="43"/>
      <c r="F234" s="43"/>
      <c r="G234" s="47"/>
      <c r="H234" s="47"/>
      <c r="I234" s="26"/>
      <c r="J234" s="48"/>
      <c r="K234" s="26"/>
      <c r="L234" s="26"/>
      <c r="M234" s="49"/>
      <c r="N234" s="49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9.5" customHeight="1">
      <c r="A235" s="26"/>
      <c r="B235" s="26"/>
      <c r="C235" s="43"/>
      <c r="D235" s="43"/>
      <c r="E235" s="43"/>
      <c r="F235" s="43"/>
      <c r="G235" s="47"/>
      <c r="H235" s="47"/>
      <c r="I235" s="26"/>
      <c r="J235" s="48"/>
      <c r="K235" s="26"/>
      <c r="L235" s="26"/>
      <c r="M235" s="49"/>
      <c r="N235" s="49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9.5" customHeight="1">
      <c r="A236" s="26"/>
      <c r="B236" s="26"/>
      <c r="C236" s="43"/>
      <c r="D236" s="43"/>
      <c r="E236" s="43"/>
      <c r="F236" s="43"/>
      <c r="G236" s="47"/>
      <c r="H236" s="47"/>
      <c r="I236" s="26"/>
      <c r="J236" s="48"/>
      <c r="K236" s="26"/>
      <c r="L236" s="26"/>
      <c r="M236" s="49"/>
      <c r="N236" s="49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9.5" customHeight="1">
      <c r="A237" s="26"/>
      <c r="B237" s="26"/>
      <c r="C237" s="43"/>
      <c r="D237" s="43"/>
      <c r="E237" s="43"/>
      <c r="F237" s="43"/>
      <c r="G237" s="47"/>
      <c r="H237" s="47"/>
      <c r="I237" s="26"/>
      <c r="J237" s="48"/>
      <c r="K237" s="26"/>
      <c r="L237" s="26"/>
      <c r="M237" s="49"/>
      <c r="N237" s="49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9.5" customHeight="1">
      <c r="A238" s="26"/>
      <c r="B238" s="26"/>
      <c r="C238" s="43"/>
      <c r="D238" s="43"/>
      <c r="E238" s="43"/>
      <c r="F238" s="43"/>
      <c r="G238" s="47"/>
      <c r="H238" s="47"/>
      <c r="I238" s="26"/>
      <c r="J238" s="48"/>
      <c r="K238" s="26"/>
      <c r="L238" s="26"/>
      <c r="M238" s="49"/>
      <c r="N238" s="49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9.5" customHeight="1">
      <c r="A239" s="26"/>
      <c r="B239" s="26"/>
      <c r="C239" s="43"/>
      <c r="D239" s="43"/>
      <c r="E239" s="43"/>
      <c r="F239" s="43"/>
      <c r="G239" s="47"/>
      <c r="H239" s="47"/>
      <c r="I239" s="26"/>
      <c r="J239" s="48"/>
      <c r="K239" s="26"/>
      <c r="L239" s="26"/>
      <c r="M239" s="49"/>
      <c r="N239" s="49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9.5" customHeight="1">
      <c r="A240" s="26"/>
      <c r="B240" s="26"/>
      <c r="C240" s="43"/>
      <c r="D240" s="43"/>
      <c r="E240" s="43"/>
      <c r="F240" s="43"/>
      <c r="G240" s="47"/>
      <c r="H240" s="47"/>
      <c r="I240" s="26"/>
      <c r="J240" s="48"/>
      <c r="K240" s="26"/>
      <c r="L240" s="26"/>
      <c r="M240" s="49"/>
      <c r="N240" s="49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9.5" customHeight="1">
      <c r="A241" s="26"/>
      <c r="B241" s="26"/>
      <c r="C241" s="43"/>
      <c r="D241" s="43"/>
      <c r="E241" s="43"/>
      <c r="F241" s="43"/>
      <c r="G241" s="47"/>
      <c r="H241" s="47"/>
      <c r="I241" s="26"/>
      <c r="J241" s="48"/>
      <c r="K241" s="26"/>
      <c r="L241" s="26"/>
      <c r="M241" s="49"/>
      <c r="N241" s="49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9.5" customHeight="1">
      <c r="A242" s="26"/>
      <c r="B242" s="26"/>
      <c r="C242" s="43"/>
      <c r="D242" s="43"/>
      <c r="E242" s="43"/>
      <c r="F242" s="43"/>
      <c r="G242" s="47"/>
      <c r="H242" s="47"/>
      <c r="I242" s="26"/>
      <c r="J242" s="48"/>
      <c r="K242" s="26"/>
      <c r="L242" s="26"/>
      <c r="M242" s="49"/>
      <c r="N242" s="49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9.5" customHeight="1">
      <c r="A243" s="26"/>
      <c r="B243" s="26"/>
      <c r="C243" s="43"/>
      <c r="D243" s="43"/>
      <c r="E243" s="43"/>
      <c r="F243" s="43"/>
      <c r="G243" s="47"/>
      <c r="H243" s="47"/>
      <c r="I243" s="26"/>
      <c r="J243" s="48"/>
      <c r="K243" s="26"/>
      <c r="L243" s="26"/>
      <c r="M243" s="49"/>
      <c r="N243" s="49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9.5" customHeight="1">
      <c r="A244" s="26"/>
      <c r="B244" s="26"/>
      <c r="C244" s="43"/>
      <c r="D244" s="43"/>
      <c r="E244" s="43"/>
      <c r="F244" s="43"/>
      <c r="G244" s="47"/>
      <c r="H244" s="47"/>
      <c r="I244" s="26"/>
      <c r="J244" s="48"/>
      <c r="K244" s="26"/>
      <c r="L244" s="26"/>
      <c r="M244" s="49"/>
      <c r="N244" s="49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9.5" customHeight="1">
      <c r="A245" s="26"/>
      <c r="B245" s="26"/>
      <c r="C245" s="43"/>
      <c r="D245" s="43"/>
      <c r="E245" s="43"/>
      <c r="F245" s="43"/>
      <c r="G245" s="47"/>
      <c r="H245" s="47"/>
      <c r="I245" s="26"/>
      <c r="J245" s="48"/>
      <c r="K245" s="26"/>
      <c r="L245" s="26"/>
      <c r="M245" s="49"/>
      <c r="N245" s="49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9.5" customHeight="1">
      <c r="A246" s="26"/>
      <c r="B246" s="26"/>
      <c r="C246" s="43"/>
      <c r="D246" s="43"/>
      <c r="E246" s="43"/>
      <c r="F246" s="43"/>
      <c r="G246" s="47"/>
      <c r="H246" s="47"/>
      <c r="I246" s="26"/>
      <c r="J246" s="48"/>
      <c r="K246" s="26"/>
      <c r="L246" s="26"/>
      <c r="M246" s="49"/>
      <c r="N246" s="49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9.5" customHeight="1">
      <c r="A247" s="26"/>
      <c r="B247" s="26"/>
      <c r="C247" s="43"/>
      <c r="D247" s="43"/>
      <c r="E247" s="43"/>
      <c r="F247" s="43"/>
      <c r="G247" s="47"/>
      <c r="H247" s="47"/>
      <c r="I247" s="26"/>
      <c r="J247" s="48"/>
      <c r="K247" s="26"/>
      <c r="L247" s="26"/>
      <c r="M247" s="49"/>
      <c r="N247" s="49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9.5" customHeight="1">
      <c r="A248" s="26"/>
      <c r="B248" s="26"/>
      <c r="C248" s="43"/>
      <c r="D248" s="43"/>
      <c r="E248" s="43"/>
      <c r="F248" s="43"/>
      <c r="G248" s="47"/>
      <c r="H248" s="47"/>
      <c r="I248" s="26"/>
      <c r="J248" s="48"/>
      <c r="K248" s="26"/>
      <c r="L248" s="26"/>
      <c r="M248" s="49"/>
      <c r="N248" s="49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9.5" customHeight="1">
      <c r="A249" s="26"/>
      <c r="B249" s="26"/>
      <c r="C249" s="43"/>
      <c r="D249" s="43"/>
      <c r="E249" s="43"/>
      <c r="F249" s="43"/>
      <c r="G249" s="47"/>
      <c r="H249" s="47"/>
      <c r="I249" s="26"/>
      <c r="J249" s="48"/>
      <c r="K249" s="26"/>
      <c r="L249" s="26"/>
      <c r="M249" s="49"/>
      <c r="N249" s="49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9.5" customHeight="1">
      <c r="A250" s="26"/>
      <c r="B250" s="26"/>
      <c r="C250" s="43"/>
      <c r="D250" s="43"/>
      <c r="E250" s="43"/>
      <c r="F250" s="43"/>
      <c r="G250" s="47"/>
      <c r="H250" s="47"/>
      <c r="I250" s="26"/>
      <c r="J250" s="48"/>
      <c r="K250" s="26"/>
      <c r="L250" s="26"/>
      <c r="M250" s="49"/>
      <c r="N250" s="49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9.5" customHeight="1">
      <c r="A251" s="26"/>
      <c r="B251" s="26"/>
      <c r="C251" s="43"/>
      <c r="D251" s="43"/>
      <c r="E251" s="43"/>
      <c r="F251" s="43"/>
      <c r="G251" s="47"/>
      <c r="H251" s="47"/>
      <c r="I251" s="26"/>
      <c r="J251" s="48"/>
      <c r="K251" s="26"/>
      <c r="L251" s="26"/>
      <c r="M251" s="49"/>
      <c r="N251" s="49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9.5" customHeight="1">
      <c r="A252" s="26"/>
      <c r="B252" s="26"/>
      <c r="C252" s="43"/>
      <c r="D252" s="43"/>
      <c r="E252" s="43"/>
      <c r="F252" s="43"/>
      <c r="G252" s="47"/>
      <c r="H252" s="47"/>
      <c r="I252" s="26"/>
      <c r="J252" s="48"/>
      <c r="K252" s="26"/>
      <c r="L252" s="26"/>
      <c r="M252" s="49"/>
      <c r="N252" s="49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9.5" customHeight="1">
      <c r="A253" s="26"/>
      <c r="B253" s="26"/>
      <c r="C253" s="43"/>
      <c r="D253" s="43"/>
      <c r="E253" s="43"/>
      <c r="F253" s="43"/>
      <c r="G253" s="47"/>
      <c r="H253" s="47"/>
      <c r="I253" s="26"/>
      <c r="J253" s="48"/>
      <c r="K253" s="26"/>
      <c r="L253" s="26"/>
      <c r="M253" s="49"/>
      <c r="N253" s="49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9.5" customHeight="1">
      <c r="A254" s="26"/>
      <c r="B254" s="26"/>
      <c r="C254" s="43"/>
      <c r="D254" s="43"/>
      <c r="E254" s="43"/>
      <c r="F254" s="43"/>
      <c r="G254" s="47"/>
      <c r="H254" s="47"/>
      <c r="I254" s="26"/>
      <c r="J254" s="48"/>
      <c r="K254" s="26"/>
      <c r="L254" s="26"/>
      <c r="M254" s="49"/>
      <c r="N254" s="49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9.5" customHeight="1">
      <c r="A255" s="26"/>
      <c r="B255" s="26"/>
      <c r="C255" s="43"/>
      <c r="D255" s="43"/>
      <c r="E255" s="43"/>
      <c r="F255" s="43"/>
      <c r="G255" s="47"/>
      <c r="H255" s="47"/>
      <c r="I255" s="26"/>
      <c r="J255" s="48"/>
      <c r="K255" s="26"/>
      <c r="L255" s="26"/>
      <c r="M255" s="49"/>
      <c r="N255" s="49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9.5" customHeight="1">
      <c r="A256" s="26"/>
      <c r="B256" s="26"/>
      <c r="C256" s="43"/>
      <c r="D256" s="43"/>
      <c r="E256" s="43"/>
      <c r="F256" s="43"/>
      <c r="G256" s="47"/>
      <c r="H256" s="47"/>
      <c r="I256" s="26"/>
      <c r="J256" s="48"/>
      <c r="K256" s="26"/>
      <c r="L256" s="26"/>
      <c r="M256" s="49"/>
      <c r="N256" s="49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9.5" customHeight="1">
      <c r="A257" s="26"/>
      <c r="B257" s="26"/>
      <c r="C257" s="43"/>
      <c r="D257" s="43"/>
      <c r="E257" s="43"/>
      <c r="F257" s="43"/>
      <c r="G257" s="47"/>
      <c r="H257" s="47"/>
      <c r="I257" s="26"/>
      <c r="J257" s="48"/>
      <c r="K257" s="26"/>
      <c r="L257" s="26"/>
      <c r="M257" s="49"/>
      <c r="N257" s="49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9.5" customHeight="1">
      <c r="A258" s="26"/>
      <c r="B258" s="26"/>
      <c r="C258" s="43"/>
      <c r="D258" s="43"/>
      <c r="E258" s="43"/>
      <c r="F258" s="43"/>
      <c r="G258" s="47"/>
      <c r="H258" s="47"/>
      <c r="I258" s="26"/>
      <c r="J258" s="48"/>
      <c r="K258" s="26"/>
      <c r="L258" s="26"/>
      <c r="M258" s="49"/>
      <c r="N258" s="49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9.5" customHeight="1">
      <c r="A259" s="26"/>
      <c r="B259" s="26"/>
      <c r="C259" s="43"/>
      <c r="D259" s="43"/>
      <c r="E259" s="43"/>
      <c r="F259" s="43"/>
      <c r="G259" s="47"/>
      <c r="H259" s="47"/>
      <c r="I259" s="26"/>
      <c r="J259" s="48"/>
      <c r="K259" s="26"/>
      <c r="L259" s="26"/>
      <c r="M259" s="49"/>
      <c r="N259" s="49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9.5" customHeight="1">
      <c r="A260" s="26"/>
      <c r="B260" s="26"/>
      <c r="C260" s="43"/>
      <c r="D260" s="43"/>
      <c r="E260" s="43"/>
      <c r="F260" s="43"/>
      <c r="G260" s="47"/>
      <c r="H260" s="47"/>
      <c r="I260" s="26"/>
      <c r="J260" s="48"/>
      <c r="K260" s="26"/>
      <c r="L260" s="26"/>
      <c r="M260" s="49"/>
      <c r="N260" s="49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9.5" customHeight="1">
      <c r="A261" s="26"/>
      <c r="B261" s="26"/>
      <c r="C261" s="43"/>
      <c r="D261" s="43"/>
      <c r="E261" s="43"/>
      <c r="F261" s="43"/>
      <c r="G261" s="47"/>
      <c r="H261" s="47"/>
      <c r="I261" s="26"/>
      <c r="J261" s="48"/>
      <c r="K261" s="26"/>
      <c r="L261" s="26"/>
      <c r="M261" s="49"/>
      <c r="N261" s="49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9.5" customHeight="1">
      <c r="A262" s="26"/>
      <c r="B262" s="26"/>
      <c r="C262" s="43"/>
      <c r="D262" s="43"/>
      <c r="E262" s="43"/>
      <c r="F262" s="43"/>
      <c r="G262" s="47"/>
      <c r="H262" s="47"/>
      <c r="I262" s="26"/>
      <c r="J262" s="48"/>
      <c r="K262" s="26"/>
      <c r="L262" s="26"/>
      <c r="M262" s="49"/>
      <c r="N262" s="49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9.5" customHeight="1">
      <c r="A263" s="26"/>
      <c r="B263" s="26"/>
      <c r="C263" s="43"/>
      <c r="D263" s="43"/>
      <c r="E263" s="43"/>
      <c r="F263" s="43"/>
      <c r="G263" s="47"/>
      <c r="H263" s="47"/>
      <c r="I263" s="26"/>
      <c r="J263" s="48"/>
      <c r="K263" s="26"/>
      <c r="L263" s="26"/>
      <c r="M263" s="49"/>
      <c r="N263" s="49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9.5" customHeight="1">
      <c r="A264" s="26"/>
      <c r="B264" s="26"/>
      <c r="C264" s="43"/>
      <c r="D264" s="43"/>
      <c r="E264" s="43"/>
      <c r="F264" s="43"/>
      <c r="G264" s="47"/>
      <c r="H264" s="47"/>
      <c r="I264" s="26"/>
      <c r="J264" s="48"/>
      <c r="K264" s="26"/>
      <c r="L264" s="26"/>
      <c r="M264" s="49"/>
      <c r="N264" s="49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9.5" customHeight="1">
      <c r="A265" s="26"/>
      <c r="B265" s="26"/>
      <c r="C265" s="43"/>
      <c r="D265" s="43"/>
      <c r="E265" s="43"/>
      <c r="F265" s="43"/>
      <c r="G265" s="47"/>
      <c r="H265" s="47"/>
      <c r="I265" s="26"/>
      <c r="J265" s="48"/>
      <c r="K265" s="26"/>
      <c r="L265" s="26"/>
      <c r="M265" s="49"/>
      <c r="N265" s="49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9.5" customHeight="1">
      <c r="A266" s="26"/>
      <c r="B266" s="26"/>
      <c r="C266" s="43"/>
      <c r="D266" s="43"/>
      <c r="E266" s="43"/>
      <c r="F266" s="43"/>
      <c r="G266" s="47"/>
      <c r="H266" s="47"/>
      <c r="I266" s="26"/>
      <c r="J266" s="48"/>
      <c r="K266" s="26"/>
      <c r="L266" s="26"/>
      <c r="M266" s="49"/>
      <c r="N266" s="49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9.5" customHeight="1">
      <c r="A267" s="26"/>
      <c r="B267" s="26"/>
      <c r="C267" s="43"/>
      <c r="D267" s="43"/>
      <c r="E267" s="43"/>
      <c r="F267" s="43"/>
      <c r="G267" s="47"/>
      <c r="H267" s="47"/>
      <c r="I267" s="26"/>
      <c r="J267" s="48"/>
      <c r="K267" s="26"/>
      <c r="L267" s="26"/>
      <c r="M267" s="49"/>
      <c r="N267" s="49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9.5" customHeight="1">
      <c r="A268" s="26"/>
      <c r="B268" s="26"/>
      <c r="C268" s="43"/>
      <c r="D268" s="43"/>
      <c r="E268" s="43"/>
      <c r="F268" s="43"/>
      <c r="G268" s="47"/>
      <c r="H268" s="47"/>
      <c r="I268" s="26"/>
      <c r="J268" s="48"/>
      <c r="K268" s="26"/>
      <c r="L268" s="26"/>
      <c r="M268" s="49"/>
      <c r="N268" s="49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9.5" customHeight="1">
      <c r="A269" s="26"/>
      <c r="B269" s="26"/>
      <c r="C269" s="43"/>
      <c r="D269" s="43"/>
      <c r="E269" s="43"/>
      <c r="F269" s="43"/>
      <c r="G269" s="47"/>
      <c r="H269" s="47"/>
      <c r="I269" s="26"/>
      <c r="J269" s="48"/>
      <c r="K269" s="26"/>
      <c r="L269" s="26"/>
      <c r="M269" s="49"/>
      <c r="N269" s="49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9.5" customHeight="1">
      <c r="A270" s="26"/>
      <c r="B270" s="26"/>
      <c r="C270" s="43"/>
      <c r="D270" s="43"/>
      <c r="E270" s="43"/>
      <c r="F270" s="43"/>
      <c r="G270" s="47"/>
      <c r="H270" s="47"/>
      <c r="I270" s="26"/>
      <c r="J270" s="48"/>
      <c r="K270" s="26"/>
      <c r="L270" s="26"/>
      <c r="M270" s="49"/>
      <c r="N270" s="49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9.5" customHeight="1">
      <c r="A271" s="26"/>
      <c r="B271" s="26"/>
      <c r="C271" s="43"/>
      <c r="D271" s="43"/>
      <c r="E271" s="43"/>
      <c r="F271" s="43"/>
      <c r="G271" s="47"/>
      <c r="H271" s="47"/>
      <c r="I271" s="26"/>
      <c r="J271" s="48"/>
      <c r="K271" s="26"/>
      <c r="L271" s="26"/>
      <c r="M271" s="49"/>
      <c r="N271" s="49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9.5" customHeight="1">
      <c r="A272" s="26"/>
      <c r="B272" s="26"/>
      <c r="C272" s="43"/>
      <c r="D272" s="43"/>
      <c r="E272" s="43"/>
      <c r="F272" s="43"/>
      <c r="G272" s="47"/>
      <c r="H272" s="47"/>
      <c r="I272" s="26"/>
      <c r="J272" s="48"/>
      <c r="K272" s="26"/>
      <c r="L272" s="26"/>
      <c r="M272" s="49"/>
      <c r="N272" s="49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9.5" customHeight="1">
      <c r="A273" s="26"/>
      <c r="B273" s="26"/>
      <c r="C273" s="43"/>
      <c r="D273" s="43"/>
      <c r="E273" s="43"/>
      <c r="F273" s="43"/>
      <c r="G273" s="47"/>
      <c r="H273" s="47"/>
      <c r="I273" s="26"/>
      <c r="J273" s="48"/>
      <c r="K273" s="26"/>
      <c r="L273" s="26"/>
      <c r="M273" s="49"/>
      <c r="N273" s="49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9.5" customHeight="1">
      <c r="A274" s="26"/>
      <c r="B274" s="26"/>
      <c r="C274" s="43"/>
      <c r="D274" s="43"/>
      <c r="E274" s="43"/>
      <c r="F274" s="43"/>
      <c r="G274" s="47"/>
      <c r="H274" s="47"/>
      <c r="I274" s="26"/>
      <c r="J274" s="48"/>
      <c r="K274" s="26"/>
      <c r="L274" s="26"/>
      <c r="M274" s="49"/>
      <c r="N274" s="49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9.5" customHeight="1">
      <c r="A275" s="26"/>
      <c r="B275" s="26"/>
      <c r="C275" s="43"/>
      <c r="D275" s="43"/>
      <c r="E275" s="43"/>
      <c r="F275" s="43"/>
      <c r="G275" s="47"/>
      <c r="H275" s="47"/>
      <c r="I275" s="26"/>
      <c r="J275" s="48"/>
      <c r="K275" s="26"/>
      <c r="L275" s="26"/>
      <c r="M275" s="49"/>
      <c r="N275" s="49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9.5" customHeight="1">
      <c r="A276" s="26"/>
      <c r="B276" s="26"/>
      <c r="C276" s="43"/>
      <c r="D276" s="43"/>
      <c r="E276" s="43"/>
      <c r="F276" s="43"/>
      <c r="G276" s="47"/>
      <c r="H276" s="47"/>
      <c r="I276" s="26"/>
      <c r="J276" s="48"/>
      <c r="K276" s="26"/>
      <c r="L276" s="26"/>
      <c r="M276" s="49"/>
      <c r="N276" s="49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9.5" customHeight="1">
      <c r="A277" s="26"/>
      <c r="B277" s="26"/>
      <c r="C277" s="43"/>
      <c r="D277" s="43"/>
      <c r="E277" s="43"/>
      <c r="F277" s="43"/>
      <c r="G277" s="47"/>
      <c r="H277" s="47"/>
      <c r="I277" s="26"/>
      <c r="J277" s="48"/>
      <c r="K277" s="26"/>
      <c r="L277" s="26"/>
      <c r="M277" s="49"/>
      <c r="N277" s="49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9.5" customHeight="1">
      <c r="A278" s="26"/>
      <c r="B278" s="26"/>
      <c r="C278" s="43"/>
      <c r="D278" s="43"/>
      <c r="E278" s="43"/>
      <c r="F278" s="43"/>
      <c r="G278" s="47"/>
      <c r="H278" s="47"/>
      <c r="I278" s="26"/>
      <c r="J278" s="48"/>
      <c r="K278" s="26"/>
      <c r="L278" s="26"/>
      <c r="M278" s="49"/>
      <c r="N278" s="49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9.5" customHeight="1">
      <c r="A279" s="26"/>
      <c r="B279" s="26"/>
      <c r="C279" s="43"/>
      <c r="D279" s="43"/>
      <c r="E279" s="43"/>
      <c r="F279" s="43"/>
      <c r="G279" s="47"/>
      <c r="H279" s="47"/>
      <c r="I279" s="26"/>
      <c r="J279" s="48"/>
      <c r="K279" s="26"/>
      <c r="L279" s="26"/>
      <c r="M279" s="49"/>
      <c r="N279" s="49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9.5" customHeight="1">
      <c r="A280" s="26"/>
      <c r="B280" s="26"/>
      <c r="C280" s="43"/>
      <c r="D280" s="43"/>
      <c r="E280" s="43"/>
      <c r="F280" s="43"/>
      <c r="G280" s="47"/>
      <c r="H280" s="47"/>
      <c r="I280" s="26"/>
      <c r="J280" s="48"/>
      <c r="K280" s="26"/>
      <c r="L280" s="26"/>
      <c r="M280" s="49"/>
      <c r="N280" s="49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9.5" customHeight="1">
      <c r="A281" s="26"/>
      <c r="B281" s="26"/>
      <c r="C281" s="43"/>
      <c r="D281" s="43"/>
      <c r="E281" s="43"/>
      <c r="F281" s="43"/>
      <c r="G281" s="47"/>
      <c r="H281" s="47"/>
      <c r="I281" s="26"/>
      <c r="J281" s="48"/>
      <c r="K281" s="26"/>
      <c r="L281" s="26"/>
      <c r="M281" s="49"/>
      <c r="N281" s="49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9.5" customHeight="1">
      <c r="A282" s="26"/>
      <c r="B282" s="26"/>
      <c r="C282" s="43"/>
      <c r="D282" s="43"/>
      <c r="E282" s="43"/>
      <c r="F282" s="43"/>
      <c r="G282" s="47"/>
      <c r="H282" s="47"/>
      <c r="I282" s="26"/>
      <c r="J282" s="48"/>
      <c r="K282" s="26"/>
      <c r="L282" s="26"/>
      <c r="M282" s="49"/>
      <c r="N282" s="49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9.5" customHeight="1">
      <c r="A283" s="26"/>
      <c r="B283" s="26"/>
      <c r="C283" s="43"/>
      <c r="D283" s="43"/>
      <c r="E283" s="43"/>
      <c r="F283" s="43"/>
      <c r="G283" s="47"/>
      <c r="H283" s="47"/>
      <c r="I283" s="26"/>
      <c r="J283" s="48"/>
      <c r="K283" s="26"/>
      <c r="L283" s="26"/>
      <c r="M283" s="49"/>
      <c r="N283" s="49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9.5" customHeight="1">
      <c r="A284" s="26"/>
      <c r="B284" s="26"/>
      <c r="C284" s="43"/>
      <c r="D284" s="43"/>
      <c r="E284" s="43"/>
      <c r="F284" s="43"/>
      <c r="G284" s="47"/>
      <c r="H284" s="47"/>
      <c r="I284" s="26"/>
      <c r="J284" s="48"/>
      <c r="K284" s="26"/>
      <c r="L284" s="26"/>
      <c r="M284" s="49"/>
      <c r="N284" s="49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9.5" customHeight="1">
      <c r="A285" s="26"/>
      <c r="B285" s="26"/>
      <c r="C285" s="43"/>
      <c r="D285" s="43"/>
      <c r="E285" s="43"/>
      <c r="F285" s="43"/>
      <c r="G285" s="47"/>
      <c r="H285" s="47"/>
      <c r="I285" s="26"/>
      <c r="J285" s="48"/>
      <c r="K285" s="26"/>
      <c r="L285" s="26"/>
      <c r="M285" s="49"/>
      <c r="N285" s="49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9.5" customHeight="1">
      <c r="A286" s="26"/>
      <c r="B286" s="26"/>
      <c r="C286" s="43"/>
      <c r="D286" s="43"/>
      <c r="E286" s="43"/>
      <c r="F286" s="43"/>
      <c r="G286" s="47"/>
      <c r="H286" s="47"/>
      <c r="I286" s="26"/>
      <c r="J286" s="48"/>
      <c r="K286" s="26"/>
      <c r="L286" s="26"/>
      <c r="M286" s="49"/>
      <c r="N286" s="49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9.5" customHeight="1">
      <c r="A287" s="26"/>
      <c r="B287" s="26"/>
      <c r="C287" s="43"/>
      <c r="D287" s="43"/>
      <c r="E287" s="43"/>
      <c r="F287" s="43"/>
      <c r="G287" s="47"/>
      <c r="H287" s="47"/>
      <c r="I287" s="26"/>
      <c r="J287" s="48"/>
      <c r="K287" s="26"/>
      <c r="L287" s="26"/>
      <c r="M287" s="49"/>
      <c r="N287" s="49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9.5" customHeight="1">
      <c r="A288" s="26"/>
      <c r="B288" s="26"/>
      <c r="C288" s="43"/>
      <c r="D288" s="43"/>
      <c r="E288" s="43"/>
      <c r="F288" s="43"/>
      <c r="G288" s="47"/>
      <c r="H288" s="47"/>
      <c r="I288" s="26"/>
      <c r="J288" s="48"/>
      <c r="K288" s="26"/>
      <c r="L288" s="26"/>
      <c r="M288" s="49"/>
      <c r="N288" s="49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9.5" customHeight="1">
      <c r="A289" s="26"/>
      <c r="B289" s="26"/>
      <c r="C289" s="43"/>
      <c r="D289" s="43"/>
      <c r="E289" s="43"/>
      <c r="F289" s="43"/>
      <c r="G289" s="47"/>
      <c r="H289" s="47"/>
      <c r="I289" s="26"/>
      <c r="J289" s="48"/>
      <c r="K289" s="26"/>
      <c r="L289" s="26"/>
      <c r="M289" s="49"/>
      <c r="N289" s="49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9.5" customHeight="1">
      <c r="A290" s="26"/>
      <c r="B290" s="26"/>
      <c r="C290" s="43"/>
      <c r="D290" s="43"/>
      <c r="E290" s="43"/>
      <c r="F290" s="43"/>
      <c r="G290" s="47"/>
      <c r="H290" s="47"/>
      <c r="I290" s="26"/>
      <c r="J290" s="48"/>
      <c r="K290" s="26"/>
      <c r="L290" s="26"/>
      <c r="M290" s="49"/>
      <c r="N290" s="49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9.5" customHeight="1">
      <c r="A291" s="26"/>
      <c r="B291" s="26"/>
      <c r="C291" s="43"/>
      <c r="D291" s="43"/>
      <c r="E291" s="43"/>
      <c r="F291" s="43"/>
      <c r="G291" s="47"/>
      <c r="H291" s="47"/>
      <c r="I291" s="26"/>
      <c r="J291" s="48"/>
      <c r="K291" s="26"/>
      <c r="L291" s="26"/>
      <c r="M291" s="49"/>
      <c r="N291" s="49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9.5" customHeight="1">
      <c r="A292" s="26"/>
      <c r="B292" s="26"/>
      <c r="C292" s="43"/>
      <c r="D292" s="43"/>
      <c r="E292" s="43"/>
      <c r="F292" s="43"/>
      <c r="G292" s="47"/>
      <c r="H292" s="47"/>
      <c r="I292" s="26"/>
      <c r="J292" s="48"/>
      <c r="K292" s="26"/>
      <c r="L292" s="26"/>
      <c r="M292" s="49"/>
      <c r="N292" s="49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9.5" customHeight="1">
      <c r="A293" s="26"/>
      <c r="B293" s="26"/>
      <c r="C293" s="43"/>
      <c r="D293" s="43"/>
      <c r="E293" s="43"/>
      <c r="F293" s="43"/>
      <c r="G293" s="47"/>
      <c r="H293" s="47"/>
      <c r="I293" s="26"/>
      <c r="J293" s="48"/>
      <c r="K293" s="26"/>
      <c r="L293" s="26"/>
      <c r="M293" s="49"/>
      <c r="N293" s="49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9.5" customHeight="1">
      <c r="A294" s="26"/>
      <c r="B294" s="26"/>
      <c r="C294" s="43"/>
      <c r="D294" s="43"/>
      <c r="E294" s="43"/>
      <c r="F294" s="43"/>
      <c r="G294" s="47"/>
      <c r="H294" s="47"/>
      <c r="I294" s="26"/>
      <c r="J294" s="48"/>
      <c r="K294" s="26"/>
      <c r="L294" s="26"/>
      <c r="M294" s="49"/>
      <c r="N294" s="49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9.5" customHeight="1">
      <c r="A295" s="26"/>
      <c r="B295" s="26"/>
      <c r="C295" s="43"/>
      <c r="D295" s="43"/>
      <c r="E295" s="43"/>
      <c r="F295" s="43"/>
      <c r="G295" s="47"/>
      <c r="H295" s="47"/>
      <c r="I295" s="26"/>
      <c r="J295" s="48"/>
      <c r="K295" s="26"/>
      <c r="L295" s="26"/>
      <c r="M295" s="49"/>
      <c r="N295" s="49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9.5" customHeight="1">
      <c r="A296" s="26"/>
      <c r="B296" s="26"/>
      <c r="C296" s="43"/>
      <c r="D296" s="43"/>
      <c r="E296" s="43"/>
      <c r="F296" s="43"/>
      <c r="G296" s="47"/>
      <c r="H296" s="47"/>
      <c r="I296" s="26"/>
      <c r="J296" s="48"/>
      <c r="K296" s="26"/>
      <c r="L296" s="26"/>
      <c r="M296" s="49"/>
      <c r="N296" s="49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9.5" customHeight="1">
      <c r="A297" s="26"/>
      <c r="B297" s="26"/>
      <c r="C297" s="43"/>
      <c r="D297" s="43"/>
      <c r="E297" s="43"/>
      <c r="F297" s="43"/>
      <c r="G297" s="47"/>
      <c r="H297" s="47"/>
      <c r="I297" s="26"/>
      <c r="J297" s="48"/>
      <c r="K297" s="26"/>
      <c r="L297" s="26"/>
      <c r="M297" s="49"/>
      <c r="N297" s="49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9.5" customHeight="1">
      <c r="A298" s="26"/>
      <c r="B298" s="26"/>
      <c r="C298" s="43"/>
      <c r="D298" s="43"/>
      <c r="E298" s="43"/>
      <c r="F298" s="43"/>
      <c r="G298" s="47"/>
      <c r="H298" s="47"/>
      <c r="I298" s="26"/>
      <c r="J298" s="48"/>
      <c r="K298" s="26"/>
      <c r="L298" s="26"/>
      <c r="M298" s="49"/>
      <c r="N298" s="49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9.5" customHeight="1">
      <c r="A299" s="26"/>
      <c r="B299" s="26"/>
      <c r="C299" s="43"/>
      <c r="D299" s="43"/>
      <c r="E299" s="43"/>
      <c r="F299" s="43"/>
      <c r="G299" s="47"/>
      <c r="H299" s="47"/>
      <c r="I299" s="26"/>
      <c r="J299" s="48"/>
      <c r="K299" s="26"/>
      <c r="L299" s="26"/>
      <c r="M299" s="49"/>
      <c r="N299" s="49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9.5" customHeight="1">
      <c r="A300" s="26"/>
      <c r="B300" s="26"/>
      <c r="C300" s="43"/>
      <c r="D300" s="43"/>
      <c r="E300" s="43"/>
      <c r="F300" s="43"/>
      <c r="G300" s="47"/>
      <c r="H300" s="47"/>
      <c r="I300" s="26"/>
      <c r="J300" s="48"/>
      <c r="K300" s="26"/>
      <c r="L300" s="26"/>
      <c r="M300" s="49"/>
      <c r="N300" s="49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8"/>
      <c r="B548" s="8"/>
      <c r="C548" s="17"/>
      <c r="D548" s="17"/>
      <c r="E548" s="17"/>
      <c r="F548" s="17"/>
      <c r="G548" s="11"/>
      <c r="H548" s="11"/>
      <c r="I548" s="8"/>
      <c r="J548" s="14"/>
      <c r="K548" s="8"/>
      <c r="L548" s="8"/>
      <c r="M548" s="15"/>
      <c r="N548" s="15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17"/>
      <c r="D549" s="17"/>
      <c r="E549" s="17"/>
      <c r="F549" s="17"/>
      <c r="G549" s="11"/>
      <c r="H549" s="11"/>
      <c r="I549" s="8"/>
      <c r="J549" s="14"/>
      <c r="K549" s="8"/>
      <c r="L549" s="8"/>
      <c r="M549" s="15"/>
      <c r="N549" s="15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17"/>
      <c r="D550" s="17"/>
      <c r="E550" s="17"/>
      <c r="F550" s="17"/>
      <c r="G550" s="11"/>
      <c r="H550" s="11"/>
      <c r="I550" s="8"/>
      <c r="J550" s="14"/>
      <c r="K550" s="8"/>
      <c r="L550" s="8"/>
      <c r="M550" s="15"/>
      <c r="N550" s="15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17"/>
      <c r="D551" s="17"/>
      <c r="E551" s="17"/>
      <c r="F551" s="17"/>
      <c r="G551" s="11"/>
      <c r="H551" s="11"/>
      <c r="I551" s="8"/>
      <c r="J551" s="14"/>
      <c r="K551" s="8"/>
      <c r="L551" s="8"/>
      <c r="M551" s="15"/>
      <c r="N551" s="15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17"/>
      <c r="D552" s="17"/>
      <c r="E552" s="17"/>
      <c r="F552" s="17"/>
      <c r="G552" s="11"/>
      <c r="H552" s="11"/>
      <c r="I552" s="8"/>
      <c r="J552" s="14"/>
      <c r="K552" s="8"/>
      <c r="L552" s="8"/>
      <c r="M552" s="15"/>
      <c r="N552" s="15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17"/>
      <c r="D553" s="17"/>
      <c r="E553" s="17"/>
      <c r="F553" s="17"/>
      <c r="G553" s="11"/>
      <c r="H553" s="11"/>
      <c r="I553" s="8"/>
      <c r="J553" s="14"/>
      <c r="K553" s="8"/>
      <c r="L553" s="8"/>
      <c r="M553" s="15"/>
      <c r="N553" s="15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17"/>
      <c r="D554" s="17"/>
      <c r="E554" s="17"/>
      <c r="F554" s="17"/>
      <c r="G554" s="11"/>
      <c r="H554" s="11"/>
      <c r="I554" s="8"/>
      <c r="J554" s="14"/>
      <c r="K554" s="8"/>
      <c r="L554" s="8"/>
      <c r="M554" s="15"/>
      <c r="N554" s="15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17"/>
      <c r="D555" s="17"/>
      <c r="E555" s="17"/>
      <c r="F555" s="17"/>
      <c r="G555" s="11"/>
      <c r="H555" s="11"/>
      <c r="I555" s="8"/>
      <c r="J555" s="14"/>
      <c r="K555" s="8"/>
      <c r="L555" s="8"/>
      <c r="M555" s="15"/>
      <c r="N555" s="15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17"/>
      <c r="D556" s="17"/>
      <c r="E556" s="17"/>
      <c r="F556" s="17"/>
      <c r="G556" s="11"/>
      <c r="H556" s="11"/>
      <c r="I556" s="8"/>
      <c r="J556" s="14"/>
      <c r="K556" s="8"/>
      <c r="L556" s="8"/>
      <c r="M556" s="15"/>
      <c r="N556" s="15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17"/>
      <c r="D557" s="17"/>
      <c r="E557" s="17"/>
      <c r="F557" s="17"/>
      <c r="G557" s="11"/>
      <c r="H557" s="11"/>
      <c r="I557" s="8"/>
      <c r="J557" s="14"/>
      <c r="K557" s="8"/>
      <c r="L557" s="8"/>
      <c r="M557" s="15"/>
      <c r="N557" s="15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17"/>
      <c r="D558" s="17"/>
      <c r="E558" s="17"/>
      <c r="F558" s="17"/>
      <c r="G558" s="11"/>
      <c r="H558" s="11"/>
      <c r="I558" s="8"/>
      <c r="J558" s="14"/>
      <c r="K558" s="8"/>
      <c r="L558" s="8"/>
      <c r="M558" s="15"/>
      <c r="N558" s="15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17"/>
      <c r="D559" s="17"/>
      <c r="E559" s="17"/>
      <c r="F559" s="17"/>
      <c r="G559" s="11"/>
      <c r="H559" s="11"/>
      <c r="I559" s="8"/>
      <c r="J559" s="14"/>
      <c r="K559" s="8"/>
      <c r="L559" s="8"/>
      <c r="M559" s="15"/>
      <c r="N559" s="15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17"/>
      <c r="D560" s="17"/>
      <c r="E560" s="17"/>
      <c r="F560" s="17"/>
      <c r="G560" s="11"/>
      <c r="H560" s="11"/>
      <c r="I560" s="8"/>
      <c r="J560" s="14"/>
      <c r="K560" s="8"/>
      <c r="L560" s="8"/>
      <c r="M560" s="15"/>
      <c r="N560" s="15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17"/>
      <c r="D561" s="17"/>
      <c r="E561" s="17"/>
      <c r="F561" s="17"/>
      <c r="G561" s="11"/>
      <c r="H561" s="11"/>
      <c r="I561" s="8"/>
      <c r="J561" s="14"/>
      <c r="K561" s="8"/>
      <c r="L561" s="8"/>
      <c r="M561" s="15"/>
      <c r="N561" s="15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17"/>
      <c r="D562" s="17"/>
      <c r="E562" s="17"/>
      <c r="F562" s="17"/>
      <c r="G562" s="11"/>
      <c r="H562" s="11"/>
      <c r="I562" s="8"/>
      <c r="J562" s="14"/>
      <c r="K562" s="8"/>
      <c r="L562" s="8"/>
      <c r="M562" s="15"/>
      <c r="N562" s="15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17"/>
      <c r="D563" s="17"/>
      <c r="E563" s="17"/>
      <c r="F563" s="17"/>
      <c r="G563" s="11"/>
      <c r="H563" s="11"/>
      <c r="I563" s="8"/>
      <c r="J563" s="14"/>
      <c r="K563" s="8"/>
      <c r="L563" s="8"/>
      <c r="M563" s="15"/>
      <c r="N563" s="15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17"/>
      <c r="D564" s="17"/>
      <c r="E564" s="17"/>
      <c r="F564" s="17"/>
      <c r="G564" s="11"/>
      <c r="H564" s="11"/>
      <c r="I564" s="8"/>
      <c r="J564" s="14"/>
      <c r="K564" s="8"/>
      <c r="L564" s="8"/>
      <c r="M564" s="15"/>
      <c r="N564" s="15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17"/>
      <c r="D565" s="17"/>
      <c r="E565" s="17"/>
      <c r="F565" s="17"/>
      <c r="G565" s="11"/>
      <c r="H565" s="11"/>
      <c r="I565" s="8"/>
      <c r="J565" s="14"/>
      <c r="K565" s="8"/>
      <c r="L565" s="8"/>
      <c r="M565" s="15"/>
      <c r="N565" s="15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17"/>
      <c r="D566" s="17"/>
      <c r="E566" s="17"/>
      <c r="F566" s="17"/>
      <c r="G566" s="11"/>
      <c r="H566" s="11"/>
      <c r="I566" s="8"/>
      <c r="J566" s="14"/>
      <c r="K566" s="8"/>
      <c r="L566" s="8"/>
      <c r="M566" s="15"/>
      <c r="N566" s="15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17"/>
      <c r="D567" s="17"/>
      <c r="E567" s="17"/>
      <c r="F567" s="17"/>
      <c r="G567" s="11"/>
      <c r="H567" s="11"/>
      <c r="I567" s="8"/>
      <c r="J567" s="14"/>
      <c r="K567" s="8"/>
      <c r="L567" s="8"/>
      <c r="M567" s="15"/>
      <c r="N567" s="15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17"/>
      <c r="D568" s="17"/>
      <c r="E568" s="17"/>
      <c r="F568" s="17"/>
      <c r="G568" s="11"/>
      <c r="H568" s="11"/>
      <c r="I568" s="8"/>
      <c r="J568" s="14"/>
      <c r="K568" s="8"/>
      <c r="L568" s="8"/>
      <c r="M568" s="15"/>
      <c r="N568" s="15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17"/>
      <c r="D569" s="17"/>
      <c r="E569" s="17"/>
      <c r="F569" s="17"/>
      <c r="G569" s="11"/>
      <c r="H569" s="11"/>
      <c r="I569" s="8"/>
      <c r="J569" s="14"/>
      <c r="K569" s="8"/>
      <c r="L569" s="8"/>
      <c r="M569" s="15"/>
      <c r="N569" s="15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17"/>
      <c r="D570" s="17"/>
      <c r="E570" s="17"/>
      <c r="F570" s="17"/>
      <c r="G570" s="11"/>
      <c r="H570" s="11"/>
      <c r="I570" s="8"/>
      <c r="J570" s="14"/>
      <c r="K570" s="8"/>
      <c r="L570" s="8"/>
      <c r="M570" s="15"/>
      <c r="N570" s="15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17"/>
      <c r="D571" s="17"/>
      <c r="E571" s="17"/>
      <c r="F571" s="17"/>
      <c r="G571" s="11"/>
      <c r="H571" s="11"/>
      <c r="I571" s="8"/>
      <c r="J571" s="14"/>
      <c r="K571" s="8"/>
      <c r="L571" s="8"/>
      <c r="M571" s="15"/>
      <c r="N571" s="15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17"/>
      <c r="D572" s="17"/>
      <c r="E572" s="17"/>
      <c r="F572" s="17"/>
      <c r="G572" s="11"/>
      <c r="H572" s="11"/>
      <c r="I572" s="8"/>
      <c r="J572" s="14"/>
      <c r="K572" s="8"/>
      <c r="L572" s="8"/>
      <c r="M572" s="15"/>
      <c r="N572" s="15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17"/>
      <c r="D573" s="17"/>
      <c r="E573" s="17"/>
      <c r="F573" s="17"/>
      <c r="G573" s="11"/>
      <c r="H573" s="11"/>
      <c r="I573" s="8"/>
      <c r="J573" s="14"/>
      <c r="K573" s="8"/>
      <c r="L573" s="8"/>
      <c r="M573" s="15"/>
      <c r="N573" s="15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17"/>
      <c r="D574" s="17"/>
      <c r="E574" s="17"/>
      <c r="F574" s="17"/>
      <c r="G574" s="11"/>
      <c r="H574" s="11"/>
      <c r="I574" s="8"/>
      <c r="J574" s="14"/>
      <c r="K574" s="8"/>
      <c r="L574" s="8"/>
      <c r="M574" s="15"/>
      <c r="N574" s="15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17"/>
      <c r="D575" s="17"/>
      <c r="E575" s="17"/>
      <c r="F575" s="17"/>
      <c r="G575" s="11"/>
      <c r="H575" s="11"/>
      <c r="I575" s="8"/>
      <c r="J575" s="14"/>
      <c r="K575" s="8"/>
      <c r="L575" s="8"/>
      <c r="M575" s="15"/>
      <c r="N575" s="15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17"/>
      <c r="D576" s="17"/>
      <c r="E576" s="17"/>
      <c r="F576" s="17"/>
      <c r="G576" s="11"/>
      <c r="H576" s="11"/>
      <c r="I576" s="8"/>
      <c r="J576" s="14"/>
      <c r="K576" s="8"/>
      <c r="L576" s="8"/>
      <c r="M576" s="15"/>
      <c r="N576" s="15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17"/>
      <c r="D577" s="17"/>
      <c r="E577" s="17"/>
      <c r="F577" s="17"/>
      <c r="G577" s="11"/>
      <c r="H577" s="11"/>
      <c r="I577" s="8"/>
      <c r="J577" s="14"/>
      <c r="K577" s="8"/>
      <c r="L577" s="8"/>
      <c r="M577" s="15"/>
      <c r="N577" s="15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17"/>
      <c r="D578" s="17"/>
      <c r="E578" s="17"/>
      <c r="F578" s="17"/>
      <c r="G578" s="11"/>
      <c r="H578" s="11"/>
      <c r="I578" s="8"/>
      <c r="J578" s="14"/>
      <c r="K578" s="8"/>
      <c r="L578" s="8"/>
      <c r="M578" s="15"/>
      <c r="N578" s="15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17"/>
      <c r="D579" s="17"/>
      <c r="E579" s="17"/>
      <c r="F579" s="17"/>
      <c r="G579" s="11"/>
      <c r="H579" s="11"/>
      <c r="I579" s="8"/>
      <c r="J579" s="14"/>
      <c r="K579" s="8"/>
      <c r="L579" s="8"/>
      <c r="M579" s="15"/>
      <c r="N579" s="15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17"/>
      <c r="D580" s="17"/>
      <c r="E580" s="17"/>
      <c r="F580" s="17"/>
      <c r="G580" s="11"/>
      <c r="H580" s="11"/>
      <c r="I580" s="8"/>
      <c r="J580" s="14"/>
      <c r="K580" s="8"/>
      <c r="L580" s="8"/>
      <c r="M580" s="15"/>
      <c r="N580" s="15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17"/>
      <c r="D581" s="17"/>
      <c r="E581" s="17"/>
      <c r="F581" s="17"/>
      <c r="G581" s="11"/>
      <c r="H581" s="11"/>
      <c r="I581" s="8"/>
      <c r="J581" s="14"/>
      <c r="K581" s="8"/>
      <c r="L581" s="8"/>
      <c r="M581" s="15"/>
      <c r="N581" s="15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17"/>
      <c r="D582" s="17"/>
      <c r="E582" s="17"/>
      <c r="F582" s="17"/>
      <c r="G582" s="11"/>
      <c r="H582" s="11"/>
      <c r="I582" s="8"/>
      <c r="J582" s="14"/>
      <c r="K582" s="8"/>
      <c r="L582" s="8"/>
      <c r="M582" s="15"/>
      <c r="N582" s="15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17"/>
      <c r="D583" s="17"/>
      <c r="E583" s="17"/>
      <c r="F583" s="17"/>
      <c r="G583" s="11"/>
      <c r="H583" s="11"/>
      <c r="I583" s="8"/>
      <c r="J583" s="14"/>
      <c r="K583" s="8"/>
      <c r="L583" s="8"/>
      <c r="M583" s="15"/>
      <c r="N583" s="15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17"/>
      <c r="D584" s="17"/>
      <c r="E584" s="17"/>
      <c r="F584" s="17"/>
      <c r="G584" s="11"/>
      <c r="H584" s="11"/>
      <c r="I584" s="8"/>
      <c r="J584" s="14"/>
      <c r="K584" s="8"/>
      <c r="L584" s="8"/>
      <c r="M584" s="15"/>
      <c r="N584" s="15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17"/>
      <c r="D585" s="17"/>
      <c r="E585" s="17"/>
      <c r="F585" s="17"/>
      <c r="G585" s="11"/>
      <c r="H585" s="11"/>
      <c r="I585" s="8"/>
      <c r="J585" s="14"/>
      <c r="K585" s="8"/>
      <c r="L585" s="8"/>
      <c r="M585" s="15"/>
      <c r="N585" s="15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17"/>
      <c r="D586" s="17"/>
      <c r="E586" s="17"/>
      <c r="F586" s="17"/>
      <c r="G586" s="11"/>
      <c r="H586" s="11"/>
      <c r="I586" s="8"/>
      <c r="J586" s="14"/>
      <c r="K586" s="8"/>
      <c r="L586" s="8"/>
      <c r="M586" s="15"/>
      <c r="N586" s="15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17"/>
      <c r="D587" s="17"/>
      <c r="E587" s="17"/>
      <c r="F587" s="17"/>
      <c r="G587" s="11"/>
      <c r="H587" s="11"/>
      <c r="I587" s="8"/>
      <c r="J587" s="14"/>
      <c r="K587" s="8"/>
      <c r="L587" s="8"/>
      <c r="M587" s="15"/>
      <c r="N587" s="15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17"/>
      <c r="D588" s="17"/>
      <c r="E588" s="17"/>
      <c r="F588" s="17"/>
      <c r="G588" s="11"/>
      <c r="H588" s="11"/>
      <c r="I588" s="8"/>
      <c r="J588" s="14"/>
      <c r="K588" s="8"/>
      <c r="L588" s="8"/>
      <c r="M588" s="15"/>
      <c r="N588" s="15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17"/>
      <c r="D589" s="17"/>
      <c r="E589" s="17"/>
      <c r="F589" s="17"/>
      <c r="G589" s="11"/>
      <c r="H589" s="11"/>
      <c r="I589" s="8"/>
      <c r="J589" s="14"/>
      <c r="K589" s="8"/>
      <c r="L589" s="8"/>
      <c r="M589" s="15"/>
      <c r="N589" s="15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17"/>
      <c r="D590" s="17"/>
      <c r="E590" s="17"/>
      <c r="F590" s="17"/>
      <c r="G590" s="11"/>
      <c r="H590" s="11"/>
      <c r="I590" s="8"/>
      <c r="J590" s="14"/>
      <c r="K590" s="8"/>
      <c r="L590" s="8"/>
      <c r="M590" s="15"/>
      <c r="N590" s="15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17"/>
      <c r="D591" s="17"/>
      <c r="E591" s="17"/>
      <c r="F591" s="17"/>
      <c r="G591" s="11"/>
      <c r="H591" s="11"/>
      <c r="I591" s="8"/>
      <c r="J591" s="14"/>
      <c r="K591" s="8"/>
      <c r="L591" s="8"/>
      <c r="M591" s="15"/>
      <c r="N591" s="15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17"/>
      <c r="D592" s="17"/>
      <c r="E592" s="17"/>
      <c r="F592" s="17"/>
      <c r="G592" s="11"/>
      <c r="H592" s="11"/>
      <c r="I592" s="8"/>
      <c r="J592" s="14"/>
      <c r="K592" s="8"/>
      <c r="L592" s="8"/>
      <c r="M592" s="15"/>
      <c r="N592" s="15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17"/>
      <c r="D593" s="17"/>
      <c r="E593" s="17"/>
      <c r="F593" s="17"/>
      <c r="G593" s="11"/>
      <c r="H593" s="11"/>
      <c r="I593" s="8"/>
      <c r="J593" s="14"/>
      <c r="K593" s="8"/>
      <c r="L593" s="8"/>
      <c r="M593" s="15"/>
      <c r="N593" s="15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17"/>
      <c r="D594" s="17"/>
      <c r="E594" s="17"/>
      <c r="F594" s="17"/>
      <c r="G594" s="11"/>
      <c r="H594" s="11"/>
      <c r="I594" s="8"/>
      <c r="J594" s="14"/>
      <c r="K594" s="8"/>
      <c r="L594" s="8"/>
      <c r="M594" s="15"/>
      <c r="N594" s="15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17"/>
      <c r="D595" s="17"/>
      <c r="E595" s="17"/>
      <c r="F595" s="17"/>
      <c r="G595" s="11"/>
      <c r="H595" s="11"/>
      <c r="I595" s="8"/>
      <c r="J595" s="14"/>
      <c r="K595" s="8"/>
      <c r="L595" s="8"/>
      <c r="M595" s="15"/>
      <c r="N595" s="15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17"/>
      <c r="D596" s="17"/>
      <c r="E596" s="17"/>
      <c r="F596" s="17"/>
      <c r="G596" s="11"/>
      <c r="H596" s="11"/>
      <c r="I596" s="8"/>
      <c r="J596" s="14"/>
      <c r="K596" s="8"/>
      <c r="L596" s="8"/>
      <c r="M596" s="15"/>
      <c r="N596" s="15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17"/>
      <c r="D597" s="17"/>
      <c r="E597" s="17"/>
      <c r="F597" s="17"/>
      <c r="G597" s="11"/>
      <c r="H597" s="11"/>
      <c r="I597" s="8"/>
      <c r="J597" s="14"/>
      <c r="K597" s="8"/>
      <c r="L597" s="8"/>
      <c r="M597" s="15"/>
      <c r="N597" s="15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17"/>
      <c r="D598" s="17"/>
      <c r="E598" s="17"/>
      <c r="F598" s="17"/>
      <c r="G598" s="11"/>
      <c r="H598" s="11"/>
      <c r="I598" s="8"/>
      <c r="J598" s="14"/>
      <c r="K598" s="8"/>
      <c r="L598" s="8"/>
      <c r="M598" s="15"/>
      <c r="N598" s="15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17"/>
      <c r="D599" s="17"/>
      <c r="E599" s="17"/>
      <c r="F599" s="17"/>
      <c r="G599" s="11"/>
      <c r="H599" s="11"/>
      <c r="I599" s="8"/>
      <c r="J599" s="14"/>
      <c r="K599" s="8"/>
      <c r="L599" s="8"/>
      <c r="M599" s="15"/>
      <c r="N599" s="15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17"/>
      <c r="D600" s="17"/>
      <c r="E600" s="17"/>
      <c r="F600" s="17"/>
      <c r="G600" s="11"/>
      <c r="H600" s="11"/>
      <c r="I600" s="8"/>
      <c r="J600" s="14"/>
      <c r="K600" s="8"/>
      <c r="L600" s="8"/>
      <c r="M600" s="15"/>
      <c r="N600" s="15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17"/>
      <c r="D601" s="17"/>
      <c r="E601" s="17"/>
      <c r="F601" s="17"/>
      <c r="G601" s="11"/>
      <c r="H601" s="11"/>
      <c r="I601" s="8"/>
      <c r="J601" s="14"/>
      <c r="K601" s="8"/>
      <c r="L601" s="8"/>
      <c r="M601" s="15"/>
      <c r="N601" s="15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17"/>
      <c r="D602" s="17"/>
      <c r="E602" s="17"/>
      <c r="F602" s="17"/>
      <c r="G602" s="11"/>
      <c r="H602" s="11"/>
      <c r="I602" s="8"/>
      <c r="J602" s="14"/>
      <c r="K602" s="8"/>
      <c r="L602" s="8"/>
      <c r="M602" s="15"/>
      <c r="N602" s="15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17"/>
      <c r="D603" s="17"/>
      <c r="E603" s="17"/>
      <c r="F603" s="17"/>
      <c r="G603" s="11"/>
      <c r="H603" s="11"/>
      <c r="I603" s="8"/>
      <c r="J603" s="14"/>
      <c r="K603" s="8"/>
      <c r="L603" s="8"/>
      <c r="M603" s="15"/>
      <c r="N603" s="15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17"/>
      <c r="D604" s="17"/>
      <c r="E604" s="17"/>
      <c r="F604" s="17"/>
      <c r="G604" s="11"/>
      <c r="H604" s="11"/>
      <c r="I604" s="8"/>
      <c r="J604" s="14"/>
      <c r="K604" s="8"/>
      <c r="L604" s="8"/>
      <c r="M604" s="15"/>
      <c r="N604" s="15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17"/>
      <c r="D605" s="17"/>
      <c r="E605" s="17"/>
      <c r="F605" s="17"/>
      <c r="G605" s="11"/>
      <c r="H605" s="11"/>
      <c r="I605" s="8"/>
      <c r="J605" s="14"/>
      <c r="K605" s="8"/>
      <c r="L605" s="8"/>
      <c r="M605" s="15"/>
      <c r="N605" s="15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17"/>
      <c r="D606" s="17"/>
      <c r="E606" s="17"/>
      <c r="F606" s="17"/>
      <c r="G606" s="11"/>
      <c r="H606" s="11"/>
      <c r="I606" s="8"/>
      <c r="J606" s="14"/>
      <c r="K606" s="8"/>
      <c r="L606" s="8"/>
      <c r="M606" s="15"/>
      <c r="N606" s="15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17"/>
      <c r="D607" s="17"/>
      <c r="E607" s="17"/>
      <c r="F607" s="17"/>
      <c r="G607" s="11"/>
      <c r="H607" s="11"/>
      <c r="I607" s="8"/>
      <c r="J607" s="14"/>
      <c r="K607" s="8"/>
      <c r="L607" s="8"/>
      <c r="M607" s="15"/>
      <c r="N607" s="15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17"/>
      <c r="D608" s="17"/>
      <c r="E608" s="17"/>
      <c r="F608" s="17"/>
      <c r="G608" s="11"/>
      <c r="H608" s="11"/>
      <c r="I608" s="8"/>
      <c r="J608" s="14"/>
      <c r="K608" s="8"/>
      <c r="L608" s="8"/>
      <c r="M608" s="15"/>
      <c r="N608" s="15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17"/>
      <c r="D609" s="17"/>
      <c r="E609" s="17"/>
      <c r="F609" s="17"/>
      <c r="G609" s="11"/>
      <c r="H609" s="11"/>
      <c r="I609" s="8"/>
      <c r="J609" s="14"/>
      <c r="K609" s="8"/>
      <c r="L609" s="8"/>
      <c r="M609" s="15"/>
      <c r="N609" s="15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17"/>
      <c r="D610" s="17"/>
      <c r="E610" s="17"/>
      <c r="F610" s="17"/>
      <c r="G610" s="11"/>
      <c r="H610" s="11"/>
      <c r="I610" s="8"/>
      <c r="J610" s="14"/>
      <c r="K610" s="8"/>
      <c r="L610" s="8"/>
      <c r="M610" s="15"/>
      <c r="N610" s="15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17"/>
      <c r="D611" s="17"/>
      <c r="E611" s="17"/>
      <c r="F611" s="17"/>
      <c r="G611" s="11"/>
      <c r="H611" s="11"/>
      <c r="I611" s="8"/>
      <c r="J611" s="14"/>
      <c r="K611" s="8"/>
      <c r="L611" s="8"/>
      <c r="M611" s="15"/>
      <c r="N611" s="15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17"/>
      <c r="D612" s="17"/>
      <c r="E612" s="17"/>
      <c r="F612" s="17"/>
      <c r="G612" s="11"/>
      <c r="H612" s="11"/>
      <c r="I612" s="8"/>
      <c r="J612" s="14"/>
      <c r="K612" s="8"/>
      <c r="L612" s="8"/>
      <c r="M612" s="15"/>
      <c r="N612" s="15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17"/>
      <c r="D613" s="17"/>
      <c r="E613" s="17"/>
      <c r="F613" s="17"/>
      <c r="G613" s="11"/>
      <c r="H613" s="11"/>
      <c r="I613" s="8"/>
      <c r="J613" s="14"/>
      <c r="K613" s="8"/>
      <c r="L613" s="8"/>
      <c r="M613" s="15"/>
      <c r="N613" s="15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17"/>
      <c r="D614" s="17"/>
      <c r="E614" s="17"/>
      <c r="F614" s="17"/>
      <c r="G614" s="11"/>
      <c r="H614" s="11"/>
      <c r="I614" s="8"/>
      <c r="J614" s="14"/>
      <c r="K614" s="8"/>
      <c r="L614" s="8"/>
      <c r="M614" s="15"/>
      <c r="N614" s="15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17"/>
      <c r="D615" s="17"/>
      <c r="E615" s="17"/>
      <c r="F615" s="17"/>
      <c r="G615" s="11"/>
      <c r="H615" s="11"/>
      <c r="I615" s="8"/>
      <c r="J615" s="14"/>
      <c r="K615" s="8"/>
      <c r="L615" s="8"/>
      <c r="M615" s="15"/>
      <c r="N615" s="15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17"/>
      <c r="D616" s="17"/>
      <c r="E616" s="17"/>
      <c r="F616" s="17"/>
      <c r="G616" s="11"/>
      <c r="H616" s="11"/>
      <c r="I616" s="8"/>
      <c r="J616" s="14"/>
      <c r="K616" s="8"/>
      <c r="L616" s="8"/>
      <c r="M616" s="15"/>
      <c r="N616" s="15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17"/>
      <c r="D617" s="17"/>
      <c r="E617" s="17"/>
      <c r="F617" s="17"/>
      <c r="G617" s="11"/>
      <c r="H617" s="11"/>
      <c r="I617" s="8"/>
      <c r="J617" s="14"/>
      <c r="K617" s="8"/>
      <c r="L617" s="8"/>
      <c r="M617" s="15"/>
      <c r="N617" s="15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17"/>
      <c r="D618" s="17"/>
      <c r="E618" s="17"/>
      <c r="F618" s="17"/>
      <c r="G618" s="11"/>
      <c r="H618" s="11"/>
      <c r="I618" s="8"/>
      <c r="J618" s="14"/>
      <c r="K618" s="8"/>
      <c r="L618" s="8"/>
      <c r="M618" s="15"/>
      <c r="N618" s="15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17"/>
      <c r="D619" s="17"/>
      <c r="E619" s="17"/>
      <c r="F619" s="17"/>
      <c r="G619" s="11"/>
      <c r="H619" s="11"/>
      <c r="I619" s="8"/>
      <c r="J619" s="14"/>
      <c r="K619" s="8"/>
      <c r="L619" s="8"/>
      <c r="M619" s="15"/>
      <c r="N619" s="15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17"/>
      <c r="D620" s="17"/>
      <c r="E620" s="17"/>
      <c r="F620" s="17"/>
      <c r="G620" s="11"/>
      <c r="H620" s="11"/>
      <c r="I620" s="8"/>
      <c r="J620" s="14"/>
      <c r="K620" s="8"/>
      <c r="L620" s="8"/>
      <c r="M620" s="15"/>
      <c r="N620" s="15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17"/>
      <c r="D621" s="17"/>
      <c r="E621" s="17"/>
      <c r="F621" s="17"/>
      <c r="G621" s="11"/>
      <c r="H621" s="11"/>
      <c r="I621" s="8"/>
      <c r="J621" s="14"/>
      <c r="K621" s="8"/>
      <c r="L621" s="8"/>
      <c r="M621" s="15"/>
      <c r="N621" s="15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17"/>
      <c r="D622" s="17"/>
      <c r="E622" s="17"/>
      <c r="F622" s="17"/>
      <c r="G622" s="11"/>
      <c r="H622" s="11"/>
      <c r="I622" s="8"/>
      <c r="J622" s="14"/>
      <c r="K622" s="8"/>
      <c r="L622" s="8"/>
      <c r="M622" s="15"/>
      <c r="N622" s="15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17"/>
      <c r="D623" s="17"/>
      <c r="E623" s="17"/>
      <c r="F623" s="17"/>
      <c r="G623" s="11"/>
      <c r="H623" s="11"/>
      <c r="I623" s="8"/>
      <c r="J623" s="14"/>
      <c r="K623" s="8"/>
      <c r="L623" s="8"/>
      <c r="M623" s="15"/>
      <c r="N623" s="15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17"/>
      <c r="D624" s="17"/>
      <c r="E624" s="17"/>
      <c r="F624" s="17"/>
      <c r="G624" s="11"/>
      <c r="H624" s="11"/>
      <c r="I624" s="8"/>
      <c r="J624" s="14"/>
      <c r="K624" s="8"/>
      <c r="L624" s="8"/>
      <c r="M624" s="15"/>
      <c r="N624" s="15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17"/>
      <c r="D625" s="17"/>
      <c r="E625" s="17"/>
      <c r="F625" s="17"/>
      <c r="G625" s="11"/>
      <c r="H625" s="11"/>
      <c r="I625" s="8"/>
      <c r="J625" s="14"/>
      <c r="K625" s="8"/>
      <c r="L625" s="8"/>
      <c r="M625" s="15"/>
      <c r="N625" s="15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17"/>
      <c r="D626" s="17"/>
      <c r="E626" s="17"/>
      <c r="F626" s="17"/>
      <c r="G626" s="11"/>
      <c r="H626" s="11"/>
      <c r="I626" s="8"/>
      <c r="J626" s="14"/>
      <c r="K626" s="8"/>
      <c r="L626" s="8"/>
      <c r="M626" s="15"/>
      <c r="N626" s="15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17"/>
      <c r="D627" s="17"/>
      <c r="E627" s="17"/>
      <c r="F627" s="17"/>
      <c r="G627" s="11"/>
      <c r="H627" s="11"/>
      <c r="I627" s="8"/>
      <c r="J627" s="14"/>
      <c r="K627" s="8"/>
      <c r="L627" s="8"/>
      <c r="M627" s="15"/>
      <c r="N627" s="15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17"/>
      <c r="D628" s="17"/>
      <c r="E628" s="17"/>
      <c r="F628" s="17"/>
      <c r="G628" s="11"/>
      <c r="H628" s="11"/>
      <c r="I628" s="8"/>
      <c r="J628" s="14"/>
      <c r="K628" s="8"/>
      <c r="L628" s="8"/>
      <c r="M628" s="15"/>
      <c r="N628" s="15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17"/>
      <c r="D629" s="17"/>
      <c r="E629" s="17"/>
      <c r="F629" s="17"/>
      <c r="G629" s="11"/>
      <c r="H629" s="11"/>
      <c r="I629" s="8"/>
      <c r="J629" s="14"/>
      <c r="K629" s="8"/>
      <c r="L629" s="8"/>
      <c r="M629" s="15"/>
      <c r="N629" s="15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17"/>
      <c r="D630" s="17"/>
      <c r="E630" s="17"/>
      <c r="F630" s="17"/>
      <c r="G630" s="11"/>
      <c r="H630" s="11"/>
      <c r="I630" s="8"/>
      <c r="J630" s="14"/>
      <c r="K630" s="8"/>
      <c r="L630" s="8"/>
      <c r="M630" s="15"/>
      <c r="N630" s="15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17"/>
      <c r="D631" s="17"/>
      <c r="E631" s="17"/>
      <c r="F631" s="17"/>
      <c r="G631" s="11"/>
      <c r="H631" s="11"/>
      <c r="I631" s="8"/>
      <c r="J631" s="14"/>
      <c r="K631" s="8"/>
      <c r="L631" s="8"/>
      <c r="M631" s="15"/>
      <c r="N631" s="15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17"/>
      <c r="D632" s="17"/>
      <c r="E632" s="17"/>
      <c r="F632" s="17"/>
      <c r="G632" s="11"/>
      <c r="H632" s="11"/>
      <c r="I632" s="8"/>
      <c r="J632" s="14"/>
      <c r="K632" s="8"/>
      <c r="L632" s="8"/>
      <c r="M632" s="15"/>
      <c r="N632" s="15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17"/>
      <c r="D633" s="17"/>
      <c r="E633" s="17"/>
      <c r="F633" s="17"/>
      <c r="G633" s="11"/>
      <c r="H633" s="11"/>
      <c r="I633" s="8"/>
      <c r="J633" s="14"/>
      <c r="K633" s="8"/>
      <c r="L633" s="8"/>
      <c r="M633" s="15"/>
      <c r="N633" s="15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17"/>
      <c r="D634" s="17"/>
      <c r="E634" s="17"/>
      <c r="F634" s="17"/>
      <c r="G634" s="11"/>
      <c r="H634" s="11"/>
      <c r="I634" s="8"/>
      <c r="J634" s="14"/>
      <c r="K634" s="8"/>
      <c r="L634" s="8"/>
      <c r="M634" s="15"/>
      <c r="N634" s="15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17"/>
      <c r="D635" s="17"/>
      <c r="E635" s="17"/>
      <c r="F635" s="17"/>
      <c r="G635" s="11"/>
      <c r="H635" s="11"/>
      <c r="I635" s="8"/>
      <c r="J635" s="14"/>
      <c r="K635" s="8"/>
      <c r="L635" s="8"/>
      <c r="M635" s="15"/>
      <c r="N635" s="15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17"/>
      <c r="D636" s="17"/>
      <c r="E636" s="17"/>
      <c r="F636" s="17"/>
      <c r="G636" s="11"/>
      <c r="H636" s="11"/>
      <c r="I636" s="8"/>
      <c r="J636" s="14"/>
      <c r="K636" s="8"/>
      <c r="L636" s="8"/>
      <c r="M636" s="15"/>
      <c r="N636" s="15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17"/>
      <c r="D637" s="17"/>
      <c r="E637" s="17"/>
      <c r="F637" s="17"/>
      <c r="G637" s="11"/>
      <c r="H637" s="11"/>
      <c r="I637" s="8"/>
      <c r="J637" s="14"/>
      <c r="K637" s="8"/>
      <c r="L637" s="8"/>
      <c r="M637" s="15"/>
      <c r="N637" s="15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17"/>
      <c r="D638" s="17"/>
      <c r="E638" s="17"/>
      <c r="F638" s="17"/>
      <c r="G638" s="11"/>
      <c r="H638" s="11"/>
      <c r="I638" s="8"/>
      <c r="J638" s="14"/>
      <c r="K638" s="8"/>
      <c r="L638" s="8"/>
      <c r="M638" s="15"/>
      <c r="N638" s="15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17"/>
      <c r="D639" s="17"/>
      <c r="E639" s="17"/>
      <c r="F639" s="17"/>
      <c r="G639" s="11"/>
      <c r="H639" s="11"/>
      <c r="I639" s="8"/>
      <c r="J639" s="14"/>
      <c r="K639" s="8"/>
      <c r="L639" s="8"/>
      <c r="M639" s="15"/>
      <c r="N639" s="15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17"/>
      <c r="D640" s="17"/>
      <c r="E640" s="17"/>
      <c r="F640" s="17"/>
      <c r="G640" s="11"/>
      <c r="H640" s="11"/>
      <c r="I640" s="8"/>
      <c r="J640" s="14"/>
      <c r="K640" s="8"/>
      <c r="L640" s="8"/>
      <c r="M640" s="15"/>
      <c r="N640" s="15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17"/>
      <c r="D641" s="17"/>
      <c r="E641" s="17"/>
      <c r="F641" s="17"/>
      <c r="G641" s="11"/>
      <c r="H641" s="11"/>
      <c r="I641" s="8"/>
      <c r="J641" s="14"/>
      <c r="K641" s="8"/>
      <c r="L641" s="8"/>
      <c r="M641" s="15"/>
      <c r="N641" s="15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17"/>
      <c r="D642" s="17"/>
      <c r="E642" s="17"/>
      <c r="F642" s="17"/>
      <c r="G642" s="11"/>
      <c r="H642" s="11"/>
      <c r="I642" s="8"/>
      <c r="J642" s="14"/>
      <c r="K642" s="8"/>
      <c r="L642" s="8"/>
      <c r="M642" s="15"/>
      <c r="N642" s="15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17"/>
      <c r="D643" s="17"/>
      <c r="E643" s="17"/>
      <c r="F643" s="17"/>
      <c r="G643" s="11"/>
      <c r="H643" s="11"/>
      <c r="I643" s="8"/>
      <c r="J643" s="14"/>
      <c r="K643" s="8"/>
      <c r="L643" s="8"/>
      <c r="M643" s="15"/>
      <c r="N643" s="15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17"/>
      <c r="D644" s="17"/>
      <c r="E644" s="17"/>
      <c r="F644" s="17"/>
      <c r="G644" s="11"/>
      <c r="H644" s="11"/>
      <c r="I644" s="8"/>
      <c r="J644" s="14"/>
      <c r="K644" s="8"/>
      <c r="L644" s="8"/>
      <c r="M644" s="15"/>
      <c r="N644" s="15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17"/>
      <c r="D645" s="17"/>
      <c r="E645" s="17"/>
      <c r="F645" s="17"/>
      <c r="G645" s="11"/>
      <c r="H645" s="11"/>
      <c r="I645" s="8"/>
      <c r="J645" s="14"/>
      <c r="K645" s="8"/>
      <c r="L645" s="8"/>
      <c r="M645" s="15"/>
      <c r="N645" s="15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17"/>
      <c r="D646" s="17"/>
      <c r="E646" s="17"/>
      <c r="F646" s="17"/>
      <c r="G646" s="11"/>
      <c r="H646" s="11"/>
      <c r="I646" s="8"/>
      <c r="J646" s="14"/>
      <c r="K646" s="8"/>
      <c r="L646" s="8"/>
      <c r="M646" s="15"/>
      <c r="N646" s="15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17"/>
      <c r="D647" s="17"/>
      <c r="E647" s="17"/>
      <c r="F647" s="17"/>
      <c r="G647" s="11"/>
      <c r="H647" s="11"/>
      <c r="I647" s="8"/>
      <c r="J647" s="14"/>
      <c r="K647" s="8"/>
      <c r="L647" s="8"/>
      <c r="M647" s="15"/>
      <c r="N647" s="15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17"/>
      <c r="D648" s="17"/>
      <c r="E648" s="17"/>
      <c r="F648" s="17"/>
      <c r="G648" s="11"/>
      <c r="H648" s="11"/>
      <c r="I648" s="8"/>
      <c r="J648" s="14"/>
      <c r="K648" s="8"/>
      <c r="L648" s="8"/>
      <c r="M648" s="15"/>
      <c r="N648" s="15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17"/>
      <c r="D649" s="17"/>
      <c r="E649" s="17"/>
      <c r="F649" s="17"/>
      <c r="G649" s="11"/>
      <c r="H649" s="11"/>
      <c r="I649" s="8"/>
      <c r="J649" s="14"/>
      <c r="K649" s="8"/>
      <c r="L649" s="8"/>
      <c r="M649" s="15"/>
      <c r="N649" s="15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17"/>
      <c r="D650" s="17"/>
      <c r="E650" s="17"/>
      <c r="F650" s="17"/>
      <c r="G650" s="11"/>
      <c r="H650" s="11"/>
      <c r="I650" s="8"/>
      <c r="J650" s="14"/>
      <c r="K650" s="8"/>
      <c r="L650" s="8"/>
      <c r="M650" s="15"/>
      <c r="N650" s="15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17"/>
      <c r="D651" s="17"/>
      <c r="E651" s="17"/>
      <c r="F651" s="17"/>
      <c r="G651" s="11"/>
      <c r="H651" s="11"/>
      <c r="I651" s="8"/>
      <c r="J651" s="14"/>
      <c r="K651" s="8"/>
      <c r="L651" s="8"/>
      <c r="M651" s="15"/>
      <c r="N651" s="15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17"/>
      <c r="D652" s="17"/>
      <c r="E652" s="17"/>
      <c r="F652" s="17"/>
      <c r="G652" s="11"/>
      <c r="H652" s="11"/>
      <c r="I652" s="8"/>
      <c r="J652" s="14"/>
      <c r="K652" s="8"/>
      <c r="L652" s="8"/>
      <c r="M652" s="15"/>
      <c r="N652" s="15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17"/>
      <c r="D653" s="17"/>
      <c r="E653" s="17"/>
      <c r="F653" s="17"/>
      <c r="G653" s="11"/>
      <c r="H653" s="11"/>
      <c r="I653" s="8"/>
      <c r="J653" s="14"/>
      <c r="K653" s="8"/>
      <c r="L653" s="8"/>
      <c r="M653" s="15"/>
      <c r="N653" s="15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17"/>
      <c r="D654" s="17"/>
      <c r="E654" s="17"/>
      <c r="F654" s="17"/>
      <c r="G654" s="11"/>
      <c r="H654" s="11"/>
      <c r="I654" s="8"/>
      <c r="J654" s="14"/>
      <c r="K654" s="8"/>
      <c r="L654" s="8"/>
      <c r="M654" s="15"/>
      <c r="N654" s="15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17"/>
      <c r="D655" s="17"/>
      <c r="E655" s="17"/>
      <c r="F655" s="17"/>
      <c r="G655" s="11"/>
      <c r="H655" s="11"/>
      <c r="I655" s="8"/>
      <c r="J655" s="14"/>
      <c r="K655" s="8"/>
      <c r="L655" s="8"/>
      <c r="M655" s="15"/>
      <c r="N655" s="15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17"/>
      <c r="D656" s="17"/>
      <c r="E656" s="17"/>
      <c r="F656" s="17"/>
      <c r="G656" s="11"/>
      <c r="H656" s="11"/>
      <c r="I656" s="8"/>
      <c r="J656" s="14"/>
      <c r="K656" s="8"/>
      <c r="L656" s="8"/>
      <c r="M656" s="15"/>
      <c r="N656" s="15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17"/>
      <c r="D657" s="17"/>
      <c r="E657" s="17"/>
      <c r="F657" s="17"/>
      <c r="G657" s="11"/>
      <c r="H657" s="11"/>
      <c r="I657" s="8"/>
      <c r="J657" s="14"/>
      <c r="K657" s="8"/>
      <c r="L657" s="8"/>
      <c r="M657" s="15"/>
      <c r="N657" s="15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17"/>
      <c r="D658" s="17"/>
      <c r="E658" s="17"/>
      <c r="F658" s="17"/>
      <c r="G658" s="11"/>
      <c r="H658" s="11"/>
      <c r="I658" s="8"/>
      <c r="J658" s="14"/>
      <c r="K658" s="8"/>
      <c r="L658" s="8"/>
      <c r="M658" s="15"/>
      <c r="N658" s="15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17"/>
      <c r="D659" s="17"/>
      <c r="E659" s="17"/>
      <c r="F659" s="17"/>
      <c r="G659" s="11"/>
      <c r="H659" s="11"/>
      <c r="I659" s="8"/>
      <c r="J659" s="14"/>
      <c r="K659" s="8"/>
      <c r="L659" s="8"/>
      <c r="M659" s="15"/>
      <c r="N659" s="15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17"/>
      <c r="D660" s="17"/>
      <c r="E660" s="17"/>
      <c r="F660" s="17"/>
      <c r="G660" s="11"/>
      <c r="H660" s="11"/>
      <c r="I660" s="8"/>
      <c r="J660" s="14"/>
      <c r="K660" s="8"/>
      <c r="L660" s="8"/>
      <c r="M660" s="15"/>
      <c r="N660" s="15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17"/>
      <c r="D661" s="17"/>
      <c r="E661" s="17"/>
      <c r="F661" s="17"/>
      <c r="G661" s="11"/>
      <c r="H661" s="11"/>
      <c r="I661" s="8"/>
      <c r="J661" s="14"/>
      <c r="K661" s="8"/>
      <c r="L661" s="8"/>
      <c r="M661" s="15"/>
      <c r="N661" s="15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17"/>
      <c r="D662" s="17"/>
      <c r="E662" s="17"/>
      <c r="F662" s="17"/>
      <c r="G662" s="11"/>
      <c r="H662" s="11"/>
      <c r="I662" s="8"/>
      <c r="J662" s="14"/>
      <c r="K662" s="8"/>
      <c r="L662" s="8"/>
      <c r="M662" s="15"/>
      <c r="N662" s="15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17"/>
      <c r="D663" s="17"/>
      <c r="E663" s="17"/>
      <c r="F663" s="17"/>
      <c r="G663" s="11"/>
      <c r="H663" s="11"/>
      <c r="I663" s="8"/>
      <c r="J663" s="14"/>
      <c r="K663" s="8"/>
      <c r="L663" s="8"/>
      <c r="M663" s="15"/>
      <c r="N663" s="15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17"/>
      <c r="D664" s="17"/>
      <c r="E664" s="17"/>
      <c r="F664" s="17"/>
      <c r="G664" s="11"/>
      <c r="H664" s="11"/>
      <c r="I664" s="8"/>
      <c r="J664" s="14"/>
      <c r="K664" s="8"/>
      <c r="L664" s="8"/>
      <c r="M664" s="15"/>
      <c r="N664" s="15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17"/>
      <c r="D665" s="17"/>
      <c r="E665" s="17"/>
      <c r="F665" s="17"/>
      <c r="G665" s="11"/>
      <c r="H665" s="11"/>
      <c r="I665" s="8"/>
      <c r="J665" s="14"/>
      <c r="K665" s="8"/>
      <c r="L665" s="8"/>
      <c r="M665" s="15"/>
      <c r="N665" s="15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17"/>
      <c r="D666" s="17"/>
      <c r="E666" s="17"/>
      <c r="F666" s="17"/>
      <c r="G666" s="11"/>
      <c r="H666" s="11"/>
      <c r="I666" s="8"/>
      <c r="J666" s="14"/>
      <c r="K666" s="8"/>
      <c r="L666" s="8"/>
      <c r="M666" s="15"/>
      <c r="N666" s="15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17"/>
      <c r="D667" s="17"/>
      <c r="E667" s="17"/>
      <c r="F667" s="17"/>
      <c r="G667" s="11"/>
      <c r="H667" s="11"/>
      <c r="I667" s="8"/>
      <c r="J667" s="14"/>
      <c r="K667" s="8"/>
      <c r="L667" s="8"/>
      <c r="M667" s="15"/>
      <c r="N667" s="15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17"/>
      <c r="D668" s="17"/>
      <c r="E668" s="17"/>
      <c r="F668" s="17"/>
      <c r="G668" s="11"/>
      <c r="H668" s="11"/>
      <c r="I668" s="8"/>
      <c r="J668" s="14"/>
      <c r="K668" s="8"/>
      <c r="L668" s="8"/>
      <c r="M668" s="15"/>
      <c r="N668" s="15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17"/>
      <c r="D669" s="17"/>
      <c r="E669" s="17"/>
      <c r="F669" s="17"/>
      <c r="G669" s="11"/>
      <c r="H669" s="11"/>
      <c r="I669" s="8"/>
      <c r="J669" s="14"/>
      <c r="K669" s="8"/>
      <c r="L669" s="8"/>
      <c r="M669" s="15"/>
      <c r="N669" s="15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17"/>
      <c r="D670" s="17"/>
      <c r="E670" s="17"/>
      <c r="F670" s="17"/>
      <c r="G670" s="11"/>
      <c r="H670" s="11"/>
      <c r="I670" s="8"/>
      <c r="J670" s="14"/>
      <c r="K670" s="8"/>
      <c r="L670" s="8"/>
      <c r="M670" s="15"/>
      <c r="N670" s="15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17"/>
      <c r="D671" s="17"/>
      <c r="E671" s="17"/>
      <c r="F671" s="17"/>
      <c r="G671" s="11"/>
      <c r="H671" s="11"/>
      <c r="I671" s="8"/>
      <c r="J671" s="14"/>
      <c r="K671" s="8"/>
      <c r="L671" s="8"/>
      <c r="M671" s="15"/>
      <c r="N671" s="15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17"/>
      <c r="D672" s="17"/>
      <c r="E672" s="17"/>
      <c r="F672" s="17"/>
      <c r="G672" s="11"/>
      <c r="H672" s="11"/>
      <c r="I672" s="8"/>
      <c r="J672" s="14"/>
      <c r="K672" s="8"/>
      <c r="L672" s="8"/>
      <c r="M672" s="15"/>
      <c r="N672" s="15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17"/>
      <c r="D673" s="17"/>
      <c r="E673" s="17"/>
      <c r="F673" s="17"/>
      <c r="G673" s="11"/>
      <c r="H673" s="11"/>
      <c r="I673" s="8"/>
      <c r="J673" s="14"/>
      <c r="K673" s="8"/>
      <c r="L673" s="8"/>
      <c r="M673" s="15"/>
      <c r="N673" s="15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17"/>
      <c r="D674" s="17"/>
      <c r="E674" s="17"/>
      <c r="F674" s="17"/>
      <c r="G674" s="11"/>
      <c r="H674" s="11"/>
      <c r="I674" s="8"/>
      <c r="J674" s="14"/>
      <c r="K674" s="8"/>
      <c r="L674" s="8"/>
      <c r="M674" s="15"/>
      <c r="N674" s="15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17"/>
      <c r="D675" s="17"/>
      <c r="E675" s="17"/>
      <c r="F675" s="17"/>
      <c r="G675" s="11"/>
      <c r="H675" s="11"/>
      <c r="I675" s="8"/>
      <c r="J675" s="14"/>
      <c r="K675" s="8"/>
      <c r="L675" s="8"/>
      <c r="M675" s="15"/>
      <c r="N675" s="15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17"/>
      <c r="D676" s="17"/>
      <c r="E676" s="17"/>
      <c r="F676" s="17"/>
      <c r="G676" s="11"/>
      <c r="H676" s="11"/>
      <c r="I676" s="8"/>
      <c r="J676" s="14"/>
      <c r="K676" s="8"/>
      <c r="L676" s="8"/>
      <c r="M676" s="15"/>
      <c r="N676" s="15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17"/>
      <c r="D677" s="17"/>
      <c r="E677" s="17"/>
      <c r="F677" s="17"/>
      <c r="G677" s="11"/>
      <c r="H677" s="11"/>
      <c r="I677" s="8"/>
      <c r="J677" s="14"/>
      <c r="K677" s="8"/>
      <c r="L677" s="8"/>
      <c r="M677" s="15"/>
      <c r="N677" s="15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17"/>
      <c r="D678" s="17"/>
      <c r="E678" s="17"/>
      <c r="F678" s="17"/>
      <c r="G678" s="11"/>
      <c r="H678" s="11"/>
      <c r="I678" s="8"/>
      <c r="J678" s="14"/>
      <c r="K678" s="8"/>
      <c r="L678" s="8"/>
      <c r="M678" s="15"/>
      <c r="N678" s="15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17"/>
      <c r="D679" s="17"/>
      <c r="E679" s="17"/>
      <c r="F679" s="17"/>
      <c r="G679" s="11"/>
      <c r="H679" s="11"/>
      <c r="I679" s="8"/>
      <c r="J679" s="14"/>
      <c r="K679" s="8"/>
      <c r="L679" s="8"/>
      <c r="M679" s="15"/>
      <c r="N679" s="15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17"/>
      <c r="D680" s="17"/>
      <c r="E680" s="17"/>
      <c r="F680" s="17"/>
      <c r="G680" s="11"/>
      <c r="H680" s="11"/>
      <c r="I680" s="8"/>
      <c r="J680" s="14"/>
      <c r="K680" s="8"/>
      <c r="L680" s="8"/>
      <c r="M680" s="15"/>
      <c r="N680" s="15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17"/>
      <c r="D681" s="17"/>
      <c r="E681" s="17"/>
      <c r="F681" s="17"/>
      <c r="G681" s="11"/>
      <c r="H681" s="11"/>
      <c r="I681" s="8"/>
      <c r="J681" s="14"/>
      <c r="K681" s="8"/>
      <c r="L681" s="8"/>
      <c r="M681" s="15"/>
      <c r="N681" s="15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17"/>
      <c r="D682" s="17"/>
      <c r="E682" s="17"/>
      <c r="F682" s="17"/>
      <c r="G682" s="11"/>
      <c r="H682" s="11"/>
      <c r="I682" s="8"/>
      <c r="J682" s="14"/>
      <c r="K682" s="8"/>
      <c r="L682" s="8"/>
      <c r="M682" s="15"/>
      <c r="N682" s="15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17"/>
      <c r="D683" s="17"/>
      <c r="E683" s="17"/>
      <c r="F683" s="17"/>
      <c r="G683" s="11"/>
      <c r="H683" s="11"/>
      <c r="I683" s="8"/>
      <c r="J683" s="14"/>
      <c r="K683" s="8"/>
      <c r="L683" s="8"/>
      <c r="M683" s="15"/>
      <c r="N683" s="15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17"/>
      <c r="D684" s="17"/>
      <c r="E684" s="17"/>
      <c r="F684" s="17"/>
      <c r="G684" s="11"/>
      <c r="H684" s="11"/>
      <c r="I684" s="8"/>
      <c r="J684" s="14"/>
      <c r="K684" s="8"/>
      <c r="L684" s="8"/>
      <c r="M684" s="15"/>
      <c r="N684" s="15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17"/>
      <c r="D685" s="17"/>
      <c r="E685" s="17"/>
      <c r="F685" s="17"/>
      <c r="G685" s="11"/>
      <c r="H685" s="11"/>
      <c r="I685" s="8"/>
      <c r="J685" s="14"/>
      <c r="K685" s="8"/>
      <c r="L685" s="8"/>
      <c r="M685" s="15"/>
      <c r="N685" s="15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17"/>
      <c r="D686" s="17"/>
      <c r="E686" s="17"/>
      <c r="F686" s="17"/>
      <c r="G686" s="11"/>
      <c r="H686" s="11"/>
      <c r="I686" s="8"/>
      <c r="J686" s="14"/>
      <c r="K686" s="8"/>
      <c r="L686" s="8"/>
      <c r="M686" s="15"/>
      <c r="N686" s="15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17"/>
      <c r="D687" s="17"/>
      <c r="E687" s="17"/>
      <c r="F687" s="17"/>
      <c r="G687" s="11"/>
      <c r="H687" s="11"/>
      <c r="I687" s="8"/>
      <c r="J687" s="14"/>
      <c r="K687" s="8"/>
      <c r="L687" s="8"/>
      <c r="M687" s="15"/>
      <c r="N687" s="15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17"/>
      <c r="D688" s="17"/>
      <c r="E688" s="17"/>
      <c r="F688" s="17"/>
      <c r="G688" s="11"/>
      <c r="H688" s="11"/>
      <c r="I688" s="8"/>
      <c r="J688" s="14"/>
      <c r="K688" s="8"/>
      <c r="L688" s="8"/>
      <c r="M688" s="15"/>
      <c r="N688" s="15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17"/>
      <c r="D689" s="17"/>
      <c r="E689" s="17"/>
      <c r="F689" s="17"/>
      <c r="G689" s="11"/>
      <c r="H689" s="11"/>
      <c r="I689" s="8"/>
      <c r="J689" s="14"/>
      <c r="K689" s="8"/>
      <c r="L689" s="8"/>
      <c r="M689" s="15"/>
      <c r="N689" s="15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17"/>
      <c r="D690" s="17"/>
      <c r="E690" s="17"/>
      <c r="F690" s="17"/>
      <c r="G690" s="11"/>
      <c r="H690" s="11"/>
      <c r="I690" s="8"/>
      <c r="J690" s="14"/>
      <c r="K690" s="8"/>
      <c r="L690" s="8"/>
      <c r="M690" s="15"/>
      <c r="N690" s="15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17"/>
      <c r="D691" s="17"/>
      <c r="E691" s="17"/>
      <c r="F691" s="17"/>
      <c r="G691" s="11"/>
      <c r="H691" s="11"/>
      <c r="I691" s="8"/>
      <c r="J691" s="14"/>
      <c r="K691" s="8"/>
      <c r="L691" s="8"/>
      <c r="M691" s="15"/>
      <c r="N691" s="15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17"/>
      <c r="D692" s="17"/>
      <c r="E692" s="17"/>
      <c r="F692" s="17"/>
      <c r="G692" s="11"/>
      <c r="H692" s="11"/>
      <c r="I692" s="8"/>
      <c r="J692" s="14"/>
      <c r="K692" s="8"/>
      <c r="L692" s="8"/>
      <c r="M692" s="15"/>
      <c r="N692" s="15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17"/>
      <c r="D693" s="17"/>
      <c r="E693" s="17"/>
      <c r="F693" s="17"/>
      <c r="G693" s="11"/>
      <c r="H693" s="11"/>
      <c r="I693" s="8"/>
      <c r="J693" s="14"/>
      <c r="K693" s="8"/>
      <c r="L693" s="8"/>
      <c r="M693" s="15"/>
      <c r="N693" s="15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17"/>
      <c r="D694" s="17"/>
      <c r="E694" s="17"/>
      <c r="F694" s="17"/>
      <c r="G694" s="11"/>
      <c r="H694" s="11"/>
      <c r="I694" s="8"/>
      <c r="J694" s="14"/>
      <c r="K694" s="8"/>
      <c r="L694" s="8"/>
      <c r="M694" s="15"/>
      <c r="N694" s="15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17"/>
      <c r="D695" s="17"/>
      <c r="E695" s="17"/>
      <c r="F695" s="17"/>
      <c r="G695" s="11"/>
      <c r="H695" s="11"/>
      <c r="I695" s="8"/>
      <c r="J695" s="14"/>
      <c r="K695" s="8"/>
      <c r="L695" s="8"/>
      <c r="M695" s="15"/>
      <c r="N695" s="15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17"/>
      <c r="D696" s="17"/>
      <c r="E696" s="17"/>
      <c r="F696" s="17"/>
      <c r="G696" s="11"/>
      <c r="H696" s="11"/>
      <c r="I696" s="8"/>
      <c r="J696" s="14"/>
      <c r="K696" s="8"/>
      <c r="L696" s="8"/>
      <c r="M696" s="15"/>
      <c r="N696" s="15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17"/>
      <c r="D697" s="17"/>
      <c r="E697" s="17"/>
      <c r="F697" s="17"/>
      <c r="G697" s="11"/>
      <c r="H697" s="11"/>
      <c r="I697" s="8"/>
      <c r="J697" s="14"/>
      <c r="K697" s="8"/>
      <c r="L697" s="8"/>
      <c r="M697" s="15"/>
      <c r="N697" s="15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17"/>
      <c r="D698" s="17"/>
      <c r="E698" s="17"/>
      <c r="F698" s="17"/>
      <c r="G698" s="11"/>
      <c r="H698" s="11"/>
      <c r="I698" s="8"/>
      <c r="J698" s="14"/>
      <c r="K698" s="8"/>
      <c r="L698" s="8"/>
      <c r="M698" s="15"/>
      <c r="N698" s="15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17"/>
      <c r="D699" s="17"/>
      <c r="E699" s="17"/>
      <c r="F699" s="17"/>
      <c r="G699" s="11"/>
      <c r="H699" s="11"/>
      <c r="I699" s="8"/>
      <c r="J699" s="14"/>
      <c r="K699" s="8"/>
      <c r="L699" s="8"/>
      <c r="M699" s="15"/>
      <c r="N699" s="15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17"/>
      <c r="D700" s="17"/>
      <c r="E700" s="17"/>
      <c r="F700" s="17"/>
      <c r="G700" s="11"/>
      <c r="H700" s="11"/>
      <c r="I700" s="8"/>
      <c r="J700" s="14"/>
      <c r="K700" s="8"/>
      <c r="L700" s="8"/>
      <c r="M700" s="15"/>
      <c r="N700" s="15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17"/>
      <c r="D701" s="17"/>
      <c r="E701" s="17"/>
      <c r="F701" s="17"/>
      <c r="G701" s="11"/>
      <c r="H701" s="11"/>
      <c r="I701" s="8"/>
      <c r="J701" s="14"/>
      <c r="K701" s="8"/>
      <c r="L701" s="8"/>
      <c r="M701" s="15"/>
      <c r="N701" s="15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17"/>
      <c r="D702" s="17"/>
      <c r="E702" s="17"/>
      <c r="F702" s="17"/>
      <c r="G702" s="11"/>
      <c r="H702" s="11"/>
      <c r="I702" s="8"/>
      <c r="J702" s="14"/>
      <c r="K702" s="8"/>
      <c r="L702" s="8"/>
      <c r="M702" s="15"/>
      <c r="N702" s="15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17"/>
      <c r="D703" s="17"/>
      <c r="E703" s="17"/>
      <c r="F703" s="17"/>
      <c r="G703" s="11"/>
      <c r="H703" s="11"/>
      <c r="I703" s="8"/>
      <c r="J703" s="14"/>
      <c r="K703" s="8"/>
      <c r="L703" s="8"/>
      <c r="M703" s="15"/>
      <c r="N703" s="15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17"/>
      <c r="D704" s="17"/>
      <c r="E704" s="17"/>
      <c r="F704" s="17"/>
      <c r="G704" s="11"/>
      <c r="H704" s="11"/>
      <c r="I704" s="8"/>
      <c r="J704" s="14"/>
      <c r="K704" s="8"/>
      <c r="L704" s="8"/>
      <c r="M704" s="15"/>
      <c r="N704" s="15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17"/>
      <c r="D705" s="17"/>
      <c r="E705" s="17"/>
      <c r="F705" s="17"/>
      <c r="G705" s="11"/>
      <c r="H705" s="11"/>
      <c r="I705" s="8"/>
      <c r="J705" s="14"/>
      <c r="K705" s="8"/>
      <c r="L705" s="8"/>
      <c r="M705" s="15"/>
      <c r="N705" s="15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17"/>
      <c r="D706" s="17"/>
      <c r="E706" s="17"/>
      <c r="F706" s="17"/>
      <c r="G706" s="11"/>
      <c r="H706" s="11"/>
      <c r="I706" s="8"/>
      <c r="J706" s="14"/>
      <c r="K706" s="8"/>
      <c r="L706" s="8"/>
      <c r="M706" s="15"/>
      <c r="N706" s="15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17"/>
      <c r="D707" s="17"/>
      <c r="E707" s="17"/>
      <c r="F707" s="17"/>
      <c r="G707" s="11"/>
      <c r="H707" s="11"/>
      <c r="I707" s="8"/>
      <c r="J707" s="14"/>
      <c r="K707" s="8"/>
      <c r="L707" s="8"/>
      <c r="M707" s="15"/>
      <c r="N707" s="15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17"/>
      <c r="D708" s="17"/>
      <c r="E708" s="17"/>
      <c r="F708" s="17"/>
      <c r="G708" s="11"/>
      <c r="H708" s="11"/>
      <c r="I708" s="8"/>
      <c r="J708" s="14"/>
      <c r="K708" s="8"/>
      <c r="L708" s="8"/>
      <c r="M708" s="15"/>
      <c r="N708" s="15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17"/>
      <c r="D709" s="17"/>
      <c r="E709" s="17"/>
      <c r="F709" s="17"/>
      <c r="G709" s="11"/>
      <c r="H709" s="11"/>
      <c r="I709" s="8"/>
      <c r="J709" s="14"/>
      <c r="K709" s="8"/>
      <c r="L709" s="8"/>
      <c r="M709" s="15"/>
      <c r="N709" s="15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17"/>
      <c r="D710" s="17"/>
      <c r="E710" s="17"/>
      <c r="F710" s="17"/>
      <c r="G710" s="11"/>
      <c r="H710" s="11"/>
      <c r="I710" s="8"/>
      <c r="J710" s="14"/>
      <c r="K710" s="8"/>
      <c r="L710" s="8"/>
      <c r="M710" s="15"/>
      <c r="N710" s="15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17"/>
      <c r="D711" s="17"/>
      <c r="E711" s="17"/>
      <c r="F711" s="17"/>
      <c r="G711" s="11"/>
      <c r="H711" s="11"/>
      <c r="I711" s="8"/>
      <c r="J711" s="14"/>
      <c r="K711" s="8"/>
      <c r="L711" s="8"/>
      <c r="M711" s="15"/>
      <c r="N711" s="15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17"/>
      <c r="D712" s="17"/>
      <c r="E712" s="17"/>
      <c r="F712" s="17"/>
      <c r="G712" s="11"/>
      <c r="H712" s="11"/>
      <c r="I712" s="8"/>
      <c r="J712" s="14"/>
      <c r="K712" s="8"/>
      <c r="L712" s="8"/>
      <c r="M712" s="15"/>
      <c r="N712" s="15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17"/>
      <c r="D713" s="17"/>
      <c r="E713" s="17"/>
      <c r="F713" s="17"/>
      <c r="G713" s="11"/>
      <c r="H713" s="11"/>
      <c r="I713" s="8"/>
      <c r="J713" s="14"/>
      <c r="K713" s="8"/>
      <c r="L713" s="8"/>
      <c r="M713" s="15"/>
      <c r="N713" s="15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17"/>
      <c r="D714" s="17"/>
      <c r="E714" s="17"/>
      <c r="F714" s="17"/>
      <c r="G714" s="11"/>
      <c r="H714" s="11"/>
      <c r="I714" s="8"/>
      <c r="J714" s="14"/>
      <c r="K714" s="8"/>
      <c r="L714" s="8"/>
      <c r="M714" s="15"/>
      <c r="N714" s="15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17"/>
      <c r="D715" s="17"/>
      <c r="E715" s="17"/>
      <c r="F715" s="17"/>
      <c r="G715" s="11"/>
      <c r="H715" s="11"/>
      <c r="I715" s="8"/>
      <c r="J715" s="14"/>
      <c r="K715" s="8"/>
      <c r="L715" s="8"/>
      <c r="M715" s="15"/>
      <c r="N715" s="15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17"/>
      <c r="D716" s="17"/>
      <c r="E716" s="17"/>
      <c r="F716" s="17"/>
      <c r="G716" s="11"/>
      <c r="H716" s="11"/>
      <c r="I716" s="8"/>
      <c r="J716" s="14"/>
      <c r="K716" s="8"/>
      <c r="L716" s="8"/>
      <c r="M716" s="15"/>
      <c r="N716" s="15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17"/>
      <c r="D717" s="17"/>
      <c r="E717" s="17"/>
      <c r="F717" s="17"/>
      <c r="G717" s="11"/>
      <c r="H717" s="11"/>
      <c r="I717" s="8"/>
      <c r="J717" s="14"/>
      <c r="K717" s="8"/>
      <c r="L717" s="8"/>
      <c r="M717" s="15"/>
      <c r="N717" s="15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17"/>
      <c r="D718" s="17"/>
      <c r="E718" s="17"/>
      <c r="F718" s="17"/>
      <c r="G718" s="11"/>
      <c r="H718" s="11"/>
      <c r="I718" s="8"/>
      <c r="J718" s="14"/>
      <c r="K718" s="8"/>
      <c r="L718" s="8"/>
      <c r="M718" s="15"/>
      <c r="N718" s="15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17"/>
      <c r="D719" s="17"/>
      <c r="E719" s="17"/>
      <c r="F719" s="17"/>
      <c r="G719" s="11"/>
      <c r="H719" s="11"/>
      <c r="I719" s="8"/>
      <c r="J719" s="14"/>
      <c r="K719" s="8"/>
      <c r="L719" s="8"/>
      <c r="M719" s="15"/>
      <c r="N719" s="15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17"/>
      <c r="D720" s="17"/>
      <c r="E720" s="17"/>
      <c r="F720" s="17"/>
      <c r="G720" s="11"/>
      <c r="H720" s="11"/>
      <c r="I720" s="8"/>
      <c r="J720" s="14"/>
      <c r="K720" s="8"/>
      <c r="L720" s="8"/>
      <c r="M720" s="15"/>
      <c r="N720" s="15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17"/>
      <c r="D721" s="17"/>
      <c r="E721" s="17"/>
      <c r="F721" s="17"/>
      <c r="G721" s="11"/>
      <c r="H721" s="11"/>
      <c r="I721" s="8"/>
      <c r="J721" s="14"/>
      <c r="K721" s="8"/>
      <c r="L721" s="8"/>
      <c r="M721" s="15"/>
      <c r="N721" s="15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17"/>
      <c r="D722" s="17"/>
      <c r="E722" s="17"/>
      <c r="F722" s="17"/>
      <c r="G722" s="11"/>
      <c r="H722" s="11"/>
      <c r="I722" s="8"/>
      <c r="J722" s="14"/>
      <c r="K722" s="8"/>
      <c r="L722" s="8"/>
      <c r="M722" s="15"/>
      <c r="N722" s="15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17"/>
      <c r="D723" s="17"/>
      <c r="E723" s="17"/>
      <c r="F723" s="17"/>
      <c r="G723" s="11"/>
      <c r="H723" s="11"/>
      <c r="I723" s="8"/>
      <c r="J723" s="14"/>
      <c r="K723" s="8"/>
      <c r="L723" s="8"/>
      <c r="M723" s="15"/>
      <c r="N723" s="15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17"/>
      <c r="D724" s="17"/>
      <c r="E724" s="17"/>
      <c r="F724" s="17"/>
      <c r="G724" s="11"/>
      <c r="H724" s="11"/>
      <c r="I724" s="8"/>
      <c r="J724" s="14"/>
      <c r="K724" s="8"/>
      <c r="L724" s="8"/>
      <c r="M724" s="15"/>
      <c r="N724" s="15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17"/>
      <c r="D725" s="17"/>
      <c r="E725" s="17"/>
      <c r="F725" s="17"/>
      <c r="G725" s="11"/>
      <c r="H725" s="11"/>
      <c r="I725" s="8"/>
      <c r="J725" s="14"/>
      <c r="K725" s="8"/>
      <c r="L725" s="8"/>
      <c r="M725" s="15"/>
      <c r="N725" s="15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17"/>
      <c r="D726" s="17"/>
      <c r="E726" s="17"/>
      <c r="F726" s="17"/>
      <c r="G726" s="11"/>
      <c r="H726" s="11"/>
      <c r="I726" s="8"/>
      <c r="J726" s="14"/>
      <c r="K726" s="8"/>
      <c r="L726" s="8"/>
      <c r="M726" s="15"/>
      <c r="N726" s="15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17"/>
      <c r="D727" s="17"/>
      <c r="E727" s="17"/>
      <c r="F727" s="17"/>
      <c r="G727" s="11"/>
      <c r="H727" s="11"/>
      <c r="I727" s="8"/>
      <c r="J727" s="14"/>
      <c r="K727" s="8"/>
      <c r="L727" s="8"/>
      <c r="M727" s="15"/>
      <c r="N727" s="15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17"/>
      <c r="D728" s="17"/>
      <c r="E728" s="17"/>
      <c r="F728" s="17"/>
      <c r="G728" s="11"/>
      <c r="H728" s="11"/>
      <c r="I728" s="8"/>
      <c r="J728" s="14"/>
      <c r="K728" s="8"/>
      <c r="L728" s="8"/>
      <c r="M728" s="15"/>
      <c r="N728" s="15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17"/>
      <c r="D729" s="17"/>
      <c r="E729" s="17"/>
      <c r="F729" s="17"/>
      <c r="G729" s="11"/>
      <c r="H729" s="11"/>
      <c r="I729" s="8"/>
      <c r="J729" s="14"/>
      <c r="K729" s="8"/>
      <c r="L729" s="8"/>
      <c r="M729" s="15"/>
      <c r="N729" s="15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17"/>
      <c r="D730" s="17"/>
      <c r="E730" s="17"/>
      <c r="F730" s="17"/>
      <c r="G730" s="11"/>
      <c r="H730" s="11"/>
      <c r="I730" s="8"/>
      <c r="J730" s="14"/>
      <c r="K730" s="8"/>
      <c r="L730" s="8"/>
      <c r="M730" s="15"/>
      <c r="N730" s="15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17"/>
      <c r="D731" s="17"/>
      <c r="E731" s="17"/>
      <c r="F731" s="17"/>
      <c r="G731" s="11"/>
      <c r="H731" s="11"/>
      <c r="I731" s="8"/>
      <c r="J731" s="14"/>
      <c r="K731" s="8"/>
      <c r="L731" s="8"/>
      <c r="M731" s="15"/>
      <c r="N731" s="15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17"/>
      <c r="D732" s="17"/>
      <c r="E732" s="17"/>
      <c r="F732" s="17"/>
      <c r="G732" s="11"/>
      <c r="H732" s="11"/>
      <c r="I732" s="8"/>
      <c r="J732" s="14"/>
      <c r="K732" s="8"/>
      <c r="L732" s="8"/>
      <c r="M732" s="15"/>
      <c r="N732" s="15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17"/>
      <c r="D733" s="17"/>
      <c r="E733" s="17"/>
      <c r="F733" s="17"/>
      <c r="G733" s="11"/>
      <c r="H733" s="11"/>
      <c r="I733" s="8"/>
      <c r="J733" s="14"/>
      <c r="K733" s="8"/>
      <c r="L733" s="8"/>
      <c r="M733" s="15"/>
      <c r="N733" s="15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17"/>
      <c r="D734" s="17"/>
      <c r="E734" s="17"/>
      <c r="F734" s="17"/>
      <c r="G734" s="11"/>
      <c r="H734" s="11"/>
      <c r="I734" s="8"/>
      <c r="J734" s="14"/>
      <c r="K734" s="8"/>
      <c r="L734" s="8"/>
      <c r="M734" s="15"/>
      <c r="N734" s="15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17"/>
      <c r="D735" s="17"/>
      <c r="E735" s="17"/>
      <c r="F735" s="17"/>
      <c r="G735" s="11"/>
      <c r="H735" s="11"/>
      <c r="I735" s="8"/>
      <c r="J735" s="14"/>
      <c r="K735" s="8"/>
      <c r="L735" s="8"/>
      <c r="M735" s="15"/>
      <c r="N735" s="15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17"/>
      <c r="D736" s="17"/>
      <c r="E736" s="17"/>
      <c r="F736" s="17"/>
      <c r="G736" s="11"/>
      <c r="H736" s="11"/>
      <c r="I736" s="8"/>
      <c r="J736" s="14"/>
      <c r="K736" s="8"/>
      <c r="L736" s="8"/>
      <c r="M736" s="15"/>
      <c r="N736" s="15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17"/>
      <c r="D737" s="17"/>
      <c r="E737" s="17"/>
      <c r="F737" s="17"/>
      <c r="G737" s="11"/>
      <c r="H737" s="11"/>
      <c r="I737" s="8"/>
      <c r="J737" s="14"/>
      <c r="K737" s="8"/>
      <c r="L737" s="8"/>
      <c r="M737" s="15"/>
      <c r="N737" s="15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17"/>
      <c r="D738" s="17"/>
      <c r="E738" s="17"/>
      <c r="F738" s="17"/>
      <c r="G738" s="11"/>
      <c r="H738" s="11"/>
      <c r="I738" s="8"/>
      <c r="J738" s="14"/>
      <c r="K738" s="8"/>
      <c r="L738" s="8"/>
      <c r="M738" s="15"/>
      <c r="N738" s="15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17"/>
      <c r="D739" s="17"/>
      <c r="E739" s="17"/>
      <c r="F739" s="17"/>
      <c r="G739" s="11"/>
      <c r="H739" s="11"/>
      <c r="I739" s="8"/>
      <c r="J739" s="14"/>
      <c r="K739" s="8"/>
      <c r="L739" s="8"/>
      <c r="M739" s="15"/>
      <c r="N739" s="15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17"/>
      <c r="D740" s="17"/>
      <c r="E740" s="17"/>
      <c r="F740" s="17"/>
      <c r="G740" s="11"/>
      <c r="H740" s="11"/>
      <c r="I740" s="8"/>
      <c r="J740" s="14"/>
      <c r="K740" s="8"/>
      <c r="L740" s="8"/>
      <c r="M740" s="15"/>
      <c r="N740" s="15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17"/>
      <c r="D741" s="17"/>
      <c r="E741" s="17"/>
      <c r="F741" s="17"/>
      <c r="G741" s="11"/>
      <c r="H741" s="11"/>
      <c r="I741" s="8"/>
      <c r="J741" s="14"/>
      <c r="K741" s="8"/>
      <c r="L741" s="8"/>
      <c r="M741" s="15"/>
      <c r="N741" s="15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17"/>
      <c r="D742" s="17"/>
      <c r="E742" s="17"/>
      <c r="F742" s="17"/>
      <c r="G742" s="11"/>
      <c r="H742" s="11"/>
      <c r="I742" s="8"/>
      <c r="J742" s="14"/>
      <c r="K742" s="8"/>
      <c r="L742" s="8"/>
      <c r="M742" s="15"/>
      <c r="N742" s="15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17"/>
      <c r="D743" s="17"/>
      <c r="E743" s="17"/>
      <c r="F743" s="17"/>
      <c r="G743" s="11"/>
      <c r="H743" s="11"/>
      <c r="I743" s="8"/>
      <c r="J743" s="14"/>
      <c r="K743" s="8"/>
      <c r="L743" s="8"/>
      <c r="M743" s="15"/>
      <c r="N743" s="15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17"/>
      <c r="D744" s="17"/>
      <c r="E744" s="17"/>
      <c r="F744" s="17"/>
      <c r="G744" s="11"/>
      <c r="H744" s="11"/>
      <c r="I744" s="8"/>
      <c r="J744" s="14"/>
      <c r="K744" s="8"/>
      <c r="L744" s="8"/>
      <c r="M744" s="15"/>
      <c r="N744" s="15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17"/>
      <c r="D745" s="17"/>
      <c r="E745" s="17"/>
      <c r="F745" s="17"/>
      <c r="G745" s="11"/>
      <c r="H745" s="11"/>
      <c r="I745" s="8"/>
      <c r="J745" s="14"/>
      <c r="K745" s="8"/>
      <c r="L745" s="8"/>
      <c r="M745" s="15"/>
      <c r="N745" s="15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17"/>
      <c r="D746" s="17"/>
      <c r="E746" s="17"/>
      <c r="F746" s="17"/>
      <c r="G746" s="11"/>
      <c r="H746" s="11"/>
      <c r="I746" s="8"/>
      <c r="J746" s="14"/>
      <c r="K746" s="8"/>
      <c r="L746" s="8"/>
      <c r="M746" s="15"/>
      <c r="N746" s="15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17"/>
      <c r="D747" s="17"/>
      <c r="E747" s="17"/>
      <c r="F747" s="17"/>
      <c r="G747" s="11"/>
      <c r="H747" s="11"/>
      <c r="I747" s="8"/>
      <c r="J747" s="14"/>
      <c r="K747" s="8"/>
      <c r="L747" s="8"/>
      <c r="M747" s="15"/>
      <c r="N747" s="15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17"/>
      <c r="D748" s="17"/>
      <c r="E748" s="17"/>
      <c r="F748" s="17"/>
      <c r="G748" s="11"/>
      <c r="H748" s="11"/>
      <c r="I748" s="8"/>
      <c r="J748" s="14"/>
      <c r="K748" s="8"/>
      <c r="L748" s="8"/>
      <c r="M748" s="15"/>
      <c r="N748" s="15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17"/>
      <c r="D749" s="17"/>
      <c r="E749" s="17"/>
      <c r="F749" s="17"/>
      <c r="G749" s="11"/>
      <c r="H749" s="11"/>
      <c r="I749" s="8"/>
      <c r="J749" s="14"/>
      <c r="K749" s="8"/>
      <c r="L749" s="8"/>
      <c r="M749" s="15"/>
      <c r="N749" s="15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17"/>
      <c r="D750" s="17"/>
      <c r="E750" s="17"/>
      <c r="F750" s="17"/>
      <c r="G750" s="11"/>
      <c r="H750" s="11"/>
      <c r="I750" s="8"/>
      <c r="J750" s="14"/>
      <c r="K750" s="8"/>
      <c r="L750" s="8"/>
      <c r="M750" s="15"/>
      <c r="N750" s="15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17"/>
      <c r="D751" s="17"/>
      <c r="E751" s="17"/>
      <c r="F751" s="17"/>
      <c r="G751" s="11"/>
      <c r="H751" s="11"/>
      <c r="I751" s="8"/>
      <c r="J751" s="14"/>
      <c r="K751" s="8"/>
      <c r="L751" s="8"/>
      <c r="M751" s="15"/>
      <c r="N751" s="15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17"/>
      <c r="D752" s="17"/>
      <c r="E752" s="17"/>
      <c r="F752" s="17"/>
      <c r="G752" s="11"/>
      <c r="H752" s="11"/>
      <c r="I752" s="8"/>
      <c r="J752" s="14"/>
      <c r="K752" s="8"/>
      <c r="L752" s="8"/>
      <c r="M752" s="15"/>
      <c r="N752" s="15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17"/>
      <c r="D753" s="17"/>
      <c r="E753" s="17"/>
      <c r="F753" s="17"/>
      <c r="G753" s="11"/>
      <c r="H753" s="11"/>
      <c r="I753" s="8"/>
      <c r="J753" s="14"/>
      <c r="K753" s="8"/>
      <c r="L753" s="8"/>
      <c r="M753" s="15"/>
      <c r="N753" s="15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17"/>
      <c r="D754" s="17"/>
      <c r="E754" s="17"/>
      <c r="F754" s="17"/>
      <c r="G754" s="11"/>
      <c r="H754" s="11"/>
      <c r="I754" s="8"/>
      <c r="J754" s="14"/>
      <c r="K754" s="8"/>
      <c r="L754" s="8"/>
      <c r="M754" s="15"/>
      <c r="N754" s="15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17"/>
      <c r="D755" s="17"/>
      <c r="E755" s="17"/>
      <c r="F755" s="17"/>
      <c r="G755" s="11"/>
      <c r="H755" s="11"/>
      <c r="I755" s="8"/>
      <c r="J755" s="14"/>
      <c r="K755" s="8"/>
      <c r="L755" s="8"/>
      <c r="M755" s="15"/>
      <c r="N755" s="15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17"/>
      <c r="D756" s="17"/>
      <c r="E756" s="17"/>
      <c r="F756" s="17"/>
      <c r="G756" s="11"/>
      <c r="H756" s="11"/>
      <c r="I756" s="8"/>
      <c r="J756" s="14"/>
      <c r="K756" s="8"/>
      <c r="L756" s="8"/>
      <c r="M756" s="15"/>
      <c r="N756" s="15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17"/>
      <c r="D757" s="17"/>
      <c r="E757" s="17"/>
      <c r="F757" s="17"/>
      <c r="G757" s="11"/>
      <c r="H757" s="11"/>
      <c r="I757" s="8"/>
      <c r="J757" s="14"/>
      <c r="K757" s="8"/>
      <c r="L757" s="8"/>
      <c r="M757" s="15"/>
      <c r="N757" s="15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17"/>
      <c r="D758" s="17"/>
      <c r="E758" s="17"/>
      <c r="F758" s="17"/>
      <c r="G758" s="11"/>
      <c r="H758" s="11"/>
      <c r="I758" s="8"/>
      <c r="J758" s="14"/>
      <c r="K758" s="8"/>
      <c r="L758" s="8"/>
      <c r="M758" s="15"/>
      <c r="N758" s="15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17"/>
      <c r="D759" s="17"/>
      <c r="E759" s="17"/>
      <c r="F759" s="17"/>
      <c r="G759" s="11"/>
      <c r="H759" s="11"/>
      <c r="I759" s="8"/>
      <c r="J759" s="14"/>
      <c r="K759" s="8"/>
      <c r="L759" s="8"/>
      <c r="M759" s="15"/>
      <c r="N759" s="15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17"/>
      <c r="D760" s="17"/>
      <c r="E760" s="17"/>
      <c r="F760" s="17"/>
      <c r="G760" s="11"/>
      <c r="H760" s="11"/>
      <c r="I760" s="8"/>
      <c r="J760" s="14"/>
      <c r="K760" s="8"/>
      <c r="L760" s="8"/>
      <c r="M760" s="15"/>
      <c r="N760" s="15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17"/>
      <c r="D761" s="17"/>
      <c r="E761" s="17"/>
      <c r="F761" s="17"/>
      <c r="G761" s="11"/>
      <c r="H761" s="11"/>
      <c r="I761" s="8"/>
      <c r="J761" s="14"/>
      <c r="K761" s="8"/>
      <c r="L761" s="8"/>
      <c r="M761" s="15"/>
      <c r="N761" s="15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17"/>
      <c r="D762" s="17"/>
      <c r="E762" s="17"/>
      <c r="F762" s="17"/>
      <c r="G762" s="11"/>
      <c r="H762" s="11"/>
      <c r="I762" s="8"/>
      <c r="J762" s="14"/>
      <c r="K762" s="8"/>
      <c r="L762" s="8"/>
      <c r="M762" s="15"/>
      <c r="N762" s="15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17"/>
      <c r="D763" s="17"/>
      <c r="E763" s="17"/>
      <c r="F763" s="17"/>
      <c r="G763" s="11"/>
      <c r="H763" s="11"/>
      <c r="I763" s="8"/>
      <c r="J763" s="14"/>
      <c r="K763" s="8"/>
      <c r="L763" s="8"/>
      <c r="M763" s="15"/>
      <c r="N763" s="15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17"/>
      <c r="D764" s="17"/>
      <c r="E764" s="17"/>
      <c r="F764" s="17"/>
      <c r="G764" s="11"/>
      <c r="H764" s="11"/>
      <c r="I764" s="8"/>
      <c r="J764" s="14"/>
      <c r="K764" s="8"/>
      <c r="L764" s="8"/>
      <c r="M764" s="15"/>
      <c r="N764" s="15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17"/>
      <c r="D765" s="17"/>
      <c r="E765" s="17"/>
      <c r="F765" s="17"/>
      <c r="G765" s="11"/>
      <c r="H765" s="11"/>
      <c r="I765" s="8"/>
      <c r="J765" s="14"/>
      <c r="K765" s="8"/>
      <c r="L765" s="8"/>
      <c r="M765" s="15"/>
      <c r="N765" s="15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17"/>
      <c r="D766" s="17"/>
      <c r="E766" s="17"/>
      <c r="F766" s="17"/>
      <c r="G766" s="11"/>
      <c r="H766" s="11"/>
      <c r="I766" s="8"/>
      <c r="J766" s="14"/>
      <c r="K766" s="8"/>
      <c r="L766" s="8"/>
      <c r="M766" s="15"/>
      <c r="N766" s="15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17"/>
      <c r="D767" s="17"/>
      <c r="E767" s="17"/>
      <c r="F767" s="17"/>
      <c r="G767" s="11"/>
      <c r="H767" s="11"/>
      <c r="I767" s="8"/>
      <c r="J767" s="14"/>
      <c r="K767" s="8"/>
      <c r="L767" s="8"/>
      <c r="M767" s="15"/>
      <c r="N767" s="15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17"/>
      <c r="D768" s="17"/>
      <c r="E768" s="17"/>
      <c r="F768" s="17"/>
      <c r="G768" s="11"/>
      <c r="H768" s="11"/>
      <c r="I768" s="8"/>
      <c r="J768" s="14"/>
      <c r="K768" s="8"/>
      <c r="L768" s="8"/>
      <c r="M768" s="15"/>
      <c r="N768" s="15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17"/>
      <c r="D769" s="17"/>
      <c r="E769" s="17"/>
      <c r="F769" s="17"/>
      <c r="G769" s="11"/>
      <c r="H769" s="11"/>
      <c r="I769" s="8"/>
      <c r="J769" s="14"/>
      <c r="K769" s="8"/>
      <c r="L769" s="8"/>
      <c r="M769" s="15"/>
      <c r="N769" s="15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17"/>
      <c r="D770" s="17"/>
      <c r="E770" s="17"/>
      <c r="F770" s="17"/>
      <c r="G770" s="11"/>
      <c r="H770" s="11"/>
      <c r="I770" s="8"/>
      <c r="J770" s="14"/>
      <c r="K770" s="8"/>
      <c r="L770" s="8"/>
      <c r="M770" s="15"/>
      <c r="N770" s="15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17"/>
      <c r="D771" s="17"/>
      <c r="E771" s="17"/>
      <c r="F771" s="17"/>
      <c r="G771" s="11"/>
      <c r="H771" s="11"/>
      <c r="I771" s="8"/>
      <c r="J771" s="14"/>
      <c r="K771" s="8"/>
      <c r="L771" s="8"/>
      <c r="M771" s="15"/>
      <c r="N771" s="15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17"/>
      <c r="D772" s="17"/>
      <c r="E772" s="17"/>
      <c r="F772" s="17"/>
      <c r="G772" s="11"/>
      <c r="H772" s="11"/>
      <c r="I772" s="8"/>
      <c r="J772" s="14"/>
      <c r="K772" s="8"/>
      <c r="L772" s="8"/>
      <c r="M772" s="15"/>
      <c r="N772" s="15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17"/>
      <c r="D773" s="17"/>
      <c r="E773" s="17"/>
      <c r="F773" s="17"/>
      <c r="G773" s="11"/>
      <c r="H773" s="11"/>
      <c r="I773" s="8"/>
      <c r="J773" s="14"/>
      <c r="K773" s="8"/>
      <c r="L773" s="8"/>
      <c r="M773" s="15"/>
      <c r="N773" s="15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17"/>
      <c r="D774" s="17"/>
      <c r="E774" s="17"/>
      <c r="F774" s="17"/>
      <c r="G774" s="11"/>
      <c r="H774" s="11"/>
      <c r="I774" s="8"/>
      <c r="J774" s="14"/>
      <c r="K774" s="8"/>
      <c r="L774" s="8"/>
      <c r="M774" s="15"/>
      <c r="N774" s="15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17"/>
      <c r="D775" s="17"/>
      <c r="E775" s="17"/>
      <c r="F775" s="17"/>
      <c r="G775" s="11"/>
      <c r="H775" s="11"/>
      <c r="I775" s="8"/>
      <c r="J775" s="14"/>
      <c r="K775" s="8"/>
      <c r="L775" s="8"/>
      <c r="M775" s="15"/>
      <c r="N775" s="15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17"/>
      <c r="D776" s="17"/>
      <c r="E776" s="17"/>
      <c r="F776" s="17"/>
      <c r="G776" s="11"/>
      <c r="H776" s="11"/>
      <c r="I776" s="8"/>
      <c r="J776" s="14"/>
      <c r="K776" s="8"/>
      <c r="L776" s="8"/>
      <c r="M776" s="15"/>
      <c r="N776" s="15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17"/>
      <c r="D777" s="17"/>
      <c r="E777" s="17"/>
      <c r="F777" s="17"/>
      <c r="G777" s="11"/>
      <c r="H777" s="11"/>
      <c r="I777" s="8"/>
      <c r="J777" s="14"/>
      <c r="K777" s="8"/>
      <c r="L777" s="8"/>
      <c r="M777" s="15"/>
      <c r="N777" s="15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17"/>
      <c r="D778" s="17"/>
      <c r="E778" s="17"/>
      <c r="F778" s="17"/>
      <c r="G778" s="11"/>
      <c r="H778" s="11"/>
      <c r="I778" s="8"/>
      <c r="J778" s="14"/>
      <c r="K778" s="8"/>
      <c r="L778" s="8"/>
      <c r="M778" s="15"/>
      <c r="N778" s="15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17"/>
      <c r="D779" s="17"/>
      <c r="E779" s="17"/>
      <c r="F779" s="17"/>
      <c r="G779" s="11"/>
      <c r="H779" s="11"/>
      <c r="I779" s="8"/>
      <c r="J779" s="14"/>
      <c r="K779" s="8"/>
      <c r="L779" s="8"/>
      <c r="M779" s="15"/>
      <c r="N779" s="15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17"/>
      <c r="D780" s="17"/>
      <c r="E780" s="17"/>
      <c r="F780" s="17"/>
      <c r="G780" s="11"/>
      <c r="H780" s="11"/>
      <c r="I780" s="8"/>
      <c r="J780" s="14"/>
      <c r="K780" s="8"/>
      <c r="L780" s="8"/>
      <c r="M780" s="15"/>
      <c r="N780" s="15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17"/>
      <c r="D781" s="17"/>
      <c r="E781" s="17"/>
      <c r="F781" s="17"/>
      <c r="G781" s="11"/>
      <c r="H781" s="11"/>
      <c r="I781" s="8"/>
      <c r="J781" s="14"/>
      <c r="K781" s="8"/>
      <c r="L781" s="8"/>
      <c r="M781" s="15"/>
      <c r="N781" s="15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17"/>
      <c r="D782" s="17"/>
      <c r="E782" s="17"/>
      <c r="F782" s="17"/>
      <c r="G782" s="11"/>
      <c r="H782" s="11"/>
      <c r="I782" s="8"/>
      <c r="J782" s="14"/>
      <c r="K782" s="8"/>
      <c r="L782" s="8"/>
      <c r="M782" s="15"/>
      <c r="N782" s="15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17"/>
      <c r="D783" s="17"/>
      <c r="E783" s="17"/>
      <c r="F783" s="17"/>
      <c r="G783" s="11"/>
      <c r="H783" s="11"/>
      <c r="I783" s="8"/>
      <c r="J783" s="14"/>
      <c r="K783" s="8"/>
      <c r="L783" s="8"/>
      <c r="M783" s="15"/>
      <c r="N783" s="15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17"/>
      <c r="D784" s="17"/>
      <c r="E784" s="17"/>
      <c r="F784" s="17"/>
      <c r="G784" s="11"/>
      <c r="H784" s="11"/>
      <c r="I784" s="8"/>
      <c r="J784" s="14"/>
      <c r="K784" s="8"/>
      <c r="L784" s="8"/>
      <c r="M784" s="15"/>
      <c r="N784" s="15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17"/>
      <c r="D785" s="17"/>
      <c r="E785" s="17"/>
      <c r="F785" s="17"/>
      <c r="G785" s="11"/>
      <c r="H785" s="11"/>
      <c r="I785" s="8"/>
      <c r="J785" s="14"/>
      <c r="K785" s="8"/>
      <c r="L785" s="8"/>
      <c r="M785" s="15"/>
      <c r="N785" s="15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17"/>
      <c r="D786" s="17"/>
      <c r="E786" s="17"/>
      <c r="F786" s="17"/>
      <c r="G786" s="11"/>
      <c r="H786" s="11"/>
      <c r="I786" s="8"/>
      <c r="J786" s="14"/>
      <c r="K786" s="8"/>
      <c r="L786" s="8"/>
      <c r="M786" s="15"/>
      <c r="N786" s="15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17"/>
      <c r="D787" s="17"/>
      <c r="E787" s="17"/>
      <c r="F787" s="17"/>
      <c r="G787" s="11"/>
      <c r="H787" s="11"/>
      <c r="I787" s="8"/>
      <c r="J787" s="14"/>
      <c r="K787" s="8"/>
      <c r="L787" s="8"/>
      <c r="M787" s="15"/>
      <c r="N787" s="15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17"/>
      <c r="D788" s="17"/>
      <c r="E788" s="17"/>
      <c r="F788" s="17"/>
      <c r="G788" s="11"/>
      <c r="H788" s="11"/>
      <c r="I788" s="8"/>
      <c r="J788" s="14"/>
      <c r="K788" s="8"/>
      <c r="L788" s="8"/>
      <c r="M788" s="15"/>
      <c r="N788" s="15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17"/>
      <c r="D789" s="17"/>
      <c r="E789" s="17"/>
      <c r="F789" s="17"/>
      <c r="G789" s="11"/>
      <c r="H789" s="11"/>
      <c r="I789" s="8"/>
      <c r="J789" s="14"/>
      <c r="K789" s="8"/>
      <c r="L789" s="8"/>
      <c r="M789" s="15"/>
      <c r="N789" s="15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17"/>
      <c r="D790" s="17"/>
      <c r="E790" s="17"/>
      <c r="F790" s="17"/>
      <c r="G790" s="11"/>
      <c r="H790" s="11"/>
      <c r="I790" s="8"/>
      <c r="J790" s="14"/>
      <c r="K790" s="8"/>
      <c r="L790" s="8"/>
      <c r="M790" s="15"/>
      <c r="N790" s="15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17"/>
      <c r="D791" s="17"/>
      <c r="E791" s="17"/>
      <c r="F791" s="17"/>
      <c r="G791" s="11"/>
      <c r="H791" s="11"/>
      <c r="I791" s="8"/>
      <c r="J791" s="14"/>
      <c r="K791" s="8"/>
      <c r="L791" s="8"/>
      <c r="M791" s="15"/>
      <c r="N791" s="15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17"/>
      <c r="D792" s="17"/>
      <c r="E792" s="17"/>
      <c r="F792" s="17"/>
      <c r="G792" s="11"/>
      <c r="H792" s="11"/>
      <c r="I792" s="8"/>
      <c r="J792" s="14"/>
      <c r="K792" s="8"/>
      <c r="L792" s="8"/>
      <c r="M792" s="15"/>
      <c r="N792" s="15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17"/>
      <c r="D793" s="17"/>
      <c r="E793" s="17"/>
      <c r="F793" s="17"/>
      <c r="G793" s="11"/>
      <c r="H793" s="11"/>
      <c r="I793" s="8"/>
      <c r="J793" s="14"/>
      <c r="K793" s="8"/>
      <c r="L793" s="8"/>
      <c r="M793" s="15"/>
      <c r="N793" s="15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17"/>
      <c r="D794" s="17"/>
      <c r="E794" s="17"/>
      <c r="F794" s="17"/>
      <c r="G794" s="11"/>
      <c r="H794" s="11"/>
      <c r="I794" s="8"/>
      <c r="J794" s="14"/>
      <c r="K794" s="8"/>
      <c r="L794" s="8"/>
      <c r="M794" s="15"/>
      <c r="N794" s="15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17"/>
      <c r="D795" s="17"/>
      <c r="E795" s="17"/>
      <c r="F795" s="17"/>
      <c r="G795" s="11"/>
      <c r="H795" s="11"/>
      <c r="I795" s="8"/>
      <c r="J795" s="14"/>
      <c r="K795" s="8"/>
      <c r="L795" s="8"/>
      <c r="M795" s="15"/>
      <c r="N795" s="15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17"/>
      <c r="D796" s="17"/>
      <c r="E796" s="17"/>
      <c r="F796" s="17"/>
      <c r="G796" s="11"/>
      <c r="H796" s="11"/>
      <c r="I796" s="8"/>
      <c r="J796" s="14"/>
      <c r="K796" s="8"/>
      <c r="L796" s="8"/>
      <c r="M796" s="15"/>
      <c r="N796" s="15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17"/>
      <c r="D797" s="17"/>
      <c r="E797" s="17"/>
      <c r="F797" s="17"/>
      <c r="G797" s="11"/>
      <c r="H797" s="11"/>
      <c r="I797" s="8"/>
      <c r="J797" s="14"/>
      <c r="K797" s="8"/>
      <c r="L797" s="8"/>
      <c r="M797" s="15"/>
      <c r="N797" s="15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17"/>
      <c r="D798" s="17"/>
      <c r="E798" s="17"/>
      <c r="F798" s="17"/>
      <c r="G798" s="11"/>
      <c r="H798" s="11"/>
      <c r="I798" s="8"/>
      <c r="J798" s="14"/>
      <c r="K798" s="8"/>
      <c r="L798" s="8"/>
      <c r="M798" s="15"/>
      <c r="N798" s="15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17"/>
      <c r="D799" s="17"/>
      <c r="E799" s="17"/>
      <c r="F799" s="17"/>
      <c r="G799" s="11"/>
      <c r="H799" s="11"/>
      <c r="I799" s="8"/>
      <c r="J799" s="14"/>
      <c r="K799" s="8"/>
      <c r="L799" s="8"/>
      <c r="M799" s="15"/>
      <c r="N799" s="15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17"/>
      <c r="D800" s="17"/>
      <c r="E800" s="17"/>
      <c r="F800" s="17"/>
      <c r="G800" s="11"/>
      <c r="H800" s="11"/>
      <c r="I800" s="8"/>
      <c r="J800" s="14"/>
      <c r="K800" s="8"/>
      <c r="L800" s="8"/>
      <c r="M800" s="15"/>
      <c r="N800" s="15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17"/>
      <c r="D801" s="17"/>
      <c r="E801" s="17"/>
      <c r="F801" s="17"/>
      <c r="G801" s="11"/>
      <c r="H801" s="11"/>
      <c r="I801" s="8"/>
      <c r="J801" s="14"/>
      <c r="K801" s="8"/>
      <c r="L801" s="8"/>
      <c r="M801" s="15"/>
      <c r="N801" s="15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17"/>
      <c r="D802" s="17"/>
      <c r="E802" s="17"/>
      <c r="F802" s="17"/>
      <c r="G802" s="11"/>
      <c r="H802" s="11"/>
      <c r="I802" s="8"/>
      <c r="J802" s="14"/>
      <c r="K802" s="8"/>
      <c r="L802" s="8"/>
      <c r="M802" s="15"/>
      <c r="N802" s="15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17"/>
      <c r="D803" s="17"/>
      <c r="E803" s="17"/>
      <c r="F803" s="17"/>
      <c r="G803" s="11"/>
      <c r="H803" s="11"/>
      <c r="I803" s="8"/>
      <c r="J803" s="14"/>
      <c r="K803" s="8"/>
      <c r="L803" s="8"/>
      <c r="M803" s="15"/>
      <c r="N803" s="15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17"/>
      <c r="D804" s="17"/>
      <c r="E804" s="17"/>
      <c r="F804" s="17"/>
      <c r="G804" s="11"/>
      <c r="H804" s="11"/>
      <c r="I804" s="8"/>
      <c r="J804" s="14"/>
      <c r="K804" s="8"/>
      <c r="L804" s="8"/>
      <c r="M804" s="15"/>
      <c r="N804" s="15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17"/>
      <c r="D805" s="17"/>
      <c r="E805" s="17"/>
      <c r="F805" s="17"/>
      <c r="G805" s="11"/>
      <c r="H805" s="11"/>
      <c r="I805" s="8"/>
      <c r="J805" s="14"/>
      <c r="K805" s="8"/>
      <c r="L805" s="8"/>
      <c r="M805" s="15"/>
      <c r="N805" s="15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17"/>
      <c r="D806" s="17"/>
      <c r="E806" s="17"/>
      <c r="F806" s="17"/>
      <c r="G806" s="11"/>
      <c r="H806" s="11"/>
      <c r="I806" s="8"/>
      <c r="J806" s="14"/>
      <c r="K806" s="8"/>
      <c r="L806" s="8"/>
      <c r="M806" s="15"/>
      <c r="N806" s="15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17"/>
      <c r="D807" s="17"/>
      <c r="E807" s="17"/>
      <c r="F807" s="17"/>
      <c r="G807" s="11"/>
      <c r="H807" s="11"/>
      <c r="I807" s="8"/>
      <c r="J807" s="14"/>
      <c r="K807" s="8"/>
      <c r="L807" s="8"/>
      <c r="M807" s="15"/>
      <c r="N807" s="15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17"/>
      <c r="D808" s="17"/>
      <c r="E808" s="17"/>
      <c r="F808" s="17"/>
      <c r="G808" s="11"/>
      <c r="H808" s="11"/>
      <c r="I808" s="8"/>
      <c r="J808" s="14"/>
      <c r="K808" s="8"/>
      <c r="L808" s="8"/>
      <c r="M808" s="15"/>
      <c r="N808" s="15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17"/>
      <c r="D809" s="17"/>
      <c r="E809" s="17"/>
      <c r="F809" s="17"/>
      <c r="G809" s="11"/>
      <c r="H809" s="11"/>
      <c r="I809" s="8"/>
      <c r="J809" s="14"/>
      <c r="K809" s="8"/>
      <c r="L809" s="8"/>
      <c r="M809" s="15"/>
      <c r="N809" s="15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17"/>
      <c r="D810" s="17"/>
      <c r="E810" s="17"/>
      <c r="F810" s="17"/>
      <c r="G810" s="11"/>
      <c r="H810" s="11"/>
      <c r="I810" s="8"/>
      <c r="J810" s="14"/>
      <c r="K810" s="8"/>
      <c r="L810" s="8"/>
      <c r="M810" s="15"/>
      <c r="N810" s="15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17"/>
      <c r="D811" s="17"/>
      <c r="E811" s="17"/>
      <c r="F811" s="17"/>
      <c r="G811" s="11"/>
      <c r="H811" s="11"/>
      <c r="I811" s="8"/>
      <c r="J811" s="14"/>
      <c r="K811" s="8"/>
      <c r="L811" s="8"/>
      <c r="M811" s="15"/>
      <c r="N811" s="15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17"/>
      <c r="D812" s="17"/>
      <c r="E812" s="17"/>
      <c r="F812" s="17"/>
      <c r="G812" s="11"/>
      <c r="H812" s="11"/>
      <c r="I812" s="8"/>
      <c r="J812" s="14"/>
      <c r="K812" s="8"/>
      <c r="L812" s="8"/>
      <c r="M812" s="15"/>
      <c r="N812" s="15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17"/>
      <c r="D813" s="17"/>
      <c r="E813" s="17"/>
      <c r="F813" s="17"/>
      <c r="G813" s="11"/>
      <c r="H813" s="11"/>
      <c r="I813" s="8"/>
      <c r="J813" s="14"/>
      <c r="K813" s="8"/>
      <c r="L813" s="8"/>
      <c r="M813" s="15"/>
      <c r="N813" s="15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17"/>
      <c r="D814" s="17"/>
      <c r="E814" s="17"/>
      <c r="F814" s="17"/>
      <c r="G814" s="11"/>
      <c r="H814" s="11"/>
      <c r="I814" s="8"/>
      <c r="J814" s="14"/>
      <c r="K814" s="8"/>
      <c r="L814" s="8"/>
      <c r="M814" s="15"/>
      <c r="N814" s="15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17"/>
      <c r="D815" s="17"/>
      <c r="E815" s="17"/>
      <c r="F815" s="17"/>
      <c r="G815" s="11"/>
      <c r="H815" s="11"/>
      <c r="I815" s="8"/>
      <c r="J815" s="14"/>
      <c r="K815" s="8"/>
      <c r="L815" s="8"/>
      <c r="M815" s="15"/>
      <c r="N815" s="15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17"/>
      <c r="D816" s="17"/>
      <c r="E816" s="17"/>
      <c r="F816" s="17"/>
      <c r="G816" s="11"/>
      <c r="H816" s="11"/>
      <c r="I816" s="8"/>
      <c r="J816" s="14"/>
      <c r="K816" s="8"/>
      <c r="L816" s="8"/>
      <c r="M816" s="15"/>
      <c r="N816" s="15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17"/>
      <c r="D817" s="17"/>
      <c r="E817" s="17"/>
      <c r="F817" s="17"/>
      <c r="G817" s="11"/>
      <c r="H817" s="11"/>
      <c r="I817" s="8"/>
      <c r="J817" s="14"/>
      <c r="K817" s="8"/>
      <c r="L817" s="8"/>
      <c r="M817" s="15"/>
      <c r="N817" s="15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17"/>
      <c r="D818" s="17"/>
      <c r="E818" s="17"/>
      <c r="F818" s="17"/>
      <c r="G818" s="11"/>
      <c r="H818" s="11"/>
      <c r="I818" s="8"/>
      <c r="J818" s="14"/>
      <c r="K818" s="8"/>
      <c r="L818" s="8"/>
      <c r="M818" s="15"/>
      <c r="N818" s="15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17"/>
      <c r="D819" s="17"/>
      <c r="E819" s="17"/>
      <c r="F819" s="17"/>
      <c r="G819" s="11"/>
      <c r="H819" s="11"/>
      <c r="I819" s="8"/>
      <c r="J819" s="14"/>
      <c r="K819" s="8"/>
      <c r="L819" s="8"/>
      <c r="M819" s="15"/>
      <c r="N819" s="15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17"/>
      <c r="D820" s="17"/>
      <c r="E820" s="17"/>
      <c r="F820" s="17"/>
      <c r="G820" s="11"/>
      <c r="H820" s="11"/>
      <c r="I820" s="8"/>
      <c r="J820" s="14"/>
      <c r="K820" s="8"/>
      <c r="L820" s="8"/>
      <c r="M820" s="15"/>
      <c r="N820" s="15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17"/>
      <c r="D821" s="17"/>
      <c r="E821" s="17"/>
      <c r="F821" s="17"/>
      <c r="G821" s="11"/>
      <c r="H821" s="11"/>
      <c r="I821" s="8"/>
      <c r="J821" s="14"/>
      <c r="K821" s="8"/>
      <c r="L821" s="8"/>
      <c r="M821" s="15"/>
      <c r="N821" s="15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17"/>
      <c r="D822" s="17"/>
      <c r="E822" s="17"/>
      <c r="F822" s="17"/>
      <c r="G822" s="11"/>
      <c r="H822" s="11"/>
      <c r="I822" s="8"/>
      <c r="J822" s="14"/>
      <c r="K822" s="8"/>
      <c r="L822" s="8"/>
      <c r="M822" s="15"/>
      <c r="N822" s="15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17"/>
      <c r="D823" s="17"/>
      <c r="E823" s="17"/>
      <c r="F823" s="17"/>
      <c r="G823" s="11"/>
      <c r="H823" s="11"/>
      <c r="I823" s="8"/>
      <c r="J823" s="14"/>
      <c r="K823" s="8"/>
      <c r="L823" s="8"/>
      <c r="M823" s="15"/>
      <c r="N823" s="15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17"/>
      <c r="D824" s="17"/>
      <c r="E824" s="17"/>
      <c r="F824" s="17"/>
      <c r="G824" s="11"/>
      <c r="H824" s="11"/>
      <c r="I824" s="8"/>
      <c r="J824" s="14"/>
      <c r="K824" s="8"/>
      <c r="L824" s="8"/>
      <c r="M824" s="15"/>
      <c r="N824" s="15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17"/>
      <c r="D825" s="17"/>
      <c r="E825" s="17"/>
      <c r="F825" s="17"/>
      <c r="G825" s="11"/>
      <c r="H825" s="11"/>
      <c r="I825" s="8"/>
      <c r="J825" s="14"/>
      <c r="K825" s="8"/>
      <c r="L825" s="8"/>
      <c r="M825" s="15"/>
      <c r="N825" s="15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17"/>
      <c r="D826" s="17"/>
      <c r="E826" s="17"/>
      <c r="F826" s="17"/>
      <c r="G826" s="11"/>
      <c r="H826" s="11"/>
      <c r="I826" s="8"/>
      <c r="J826" s="14"/>
      <c r="K826" s="8"/>
      <c r="L826" s="8"/>
      <c r="M826" s="15"/>
      <c r="N826" s="15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17"/>
      <c r="D827" s="17"/>
      <c r="E827" s="17"/>
      <c r="F827" s="17"/>
      <c r="G827" s="11"/>
      <c r="H827" s="11"/>
      <c r="I827" s="8"/>
      <c r="J827" s="14"/>
      <c r="K827" s="8"/>
      <c r="L827" s="8"/>
      <c r="M827" s="15"/>
      <c r="N827" s="15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17"/>
      <c r="D828" s="17"/>
      <c r="E828" s="17"/>
      <c r="F828" s="17"/>
      <c r="G828" s="11"/>
      <c r="H828" s="11"/>
      <c r="I828" s="8"/>
      <c r="J828" s="14"/>
      <c r="K828" s="8"/>
      <c r="L828" s="8"/>
      <c r="M828" s="15"/>
      <c r="N828" s="15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17"/>
      <c r="D829" s="17"/>
      <c r="E829" s="17"/>
      <c r="F829" s="17"/>
      <c r="G829" s="11"/>
      <c r="H829" s="11"/>
      <c r="I829" s="8"/>
      <c r="J829" s="14"/>
      <c r="K829" s="8"/>
      <c r="L829" s="8"/>
      <c r="M829" s="15"/>
      <c r="N829" s="15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17"/>
      <c r="D830" s="17"/>
      <c r="E830" s="17"/>
      <c r="F830" s="17"/>
      <c r="G830" s="11"/>
      <c r="H830" s="11"/>
      <c r="I830" s="8"/>
      <c r="J830" s="14"/>
      <c r="K830" s="8"/>
      <c r="L830" s="8"/>
      <c r="M830" s="15"/>
      <c r="N830" s="15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17"/>
      <c r="D831" s="17"/>
      <c r="E831" s="17"/>
      <c r="F831" s="17"/>
      <c r="G831" s="11"/>
      <c r="H831" s="11"/>
      <c r="I831" s="8"/>
      <c r="J831" s="14"/>
      <c r="K831" s="8"/>
      <c r="L831" s="8"/>
      <c r="M831" s="15"/>
      <c r="N831" s="15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17"/>
      <c r="D832" s="17"/>
      <c r="E832" s="17"/>
      <c r="F832" s="17"/>
      <c r="G832" s="11"/>
      <c r="H832" s="11"/>
      <c r="I832" s="8"/>
      <c r="J832" s="14"/>
      <c r="K832" s="8"/>
      <c r="L832" s="8"/>
      <c r="M832" s="15"/>
      <c r="N832" s="15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17"/>
      <c r="D833" s="17"/>
      <c r="E833" s="17"/>
      <c r="F833" s="17"/>
      <c r="G833" s="11"/>
      <c r="H833" s="11"/>
      <c r="I833" s="8"/>
      <c r="J833" s="14"/>
      <c r="K833" s="8"/>
      <c r="L833" s="8"/>
      <c r="M833" s="15"/>
      <c r="N833" s="15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17"/>
      <c r="D834" s="17"/>
      <c r="E834" s="17"/>
      <c r="F834" s="17"/>
      <c r="G834" s="11"/>
      <c r="H834" s="11"/>
      <c r="I834" s="8"/>
      <c r="J834" s="14"/>
      <c r="K834" s="8"/>
      <c r="L834" s="8"/>
      <c r="M834" s="15"/>
      <c r="N834" s="15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17"/>
      <c r="D835" s="17"/>
      <c r="E835" s="17"/>
      <c r="F835" s="17"/>
      <c r="G835" s="11"/>
      <c r="H835" s="11"/>
      <c r="I835" s="8"/>
      <c r="J835" s="14"/>
      <c r="K835" s="8"/>
      <c r="L835" s="8"/>
      <c r="M835" s="15"/>
      <c r="N835" s="15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17"/>
      <c r="D836" s="17"/>
      <c r="E836" s="17"/>
      <c r="F836" s="17"/>
      <c r="G836" s="11"/>
      <c r="H836" s="11"/>
      <c r="I836" s="8"/>
      <c r="J836" s="14"/>
      <c r="K836" s="8"/>
      <c r="L836" s="8"/>
      <c r="M836" s="15"/>
      <c r="N836" s="15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17"/>
      <c r="D837" s="17"/>
      <c r="E837" s="17"/>
      <c r="F837" s="17"/>
      <c r="G837" s="11"/>
      <c r="H837" s="11"/>
      <c r="I837" s="8"/>
      <c r="J837" s="14"/>
      <c r="K837" s="8"/>
      <c r="L837" s="8"/>
      <c r="M837" s="15"/>
      <c r="N837" s="15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17"/>
      <c r="D838" s="17"/>
      <c r="E838" s="17"/>
      <c r="F838" s="17"/>
      <c r="G838" s="11"/>
      <c r="H838" s="11"/>
      <c r="I838" s="8"/>
      <c r="J838" s="14"/>
      <c r="K838" s="8"/>
      <c r="L838" s="8"/>
      <c r="M838" s="15"/>
      <c r="N838" s="15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17"/>
      <c r="D839" s="17"/>
      <c r="E839" s="17"/>
      <c r="F839" s="17"/>
      <c r="G839" s="11"/>
      <c r="H839" s="11"/>
      <c r="I839" s="8"/>
      <c r="J839" s="14"/>
      <c r="K839" s="8"/>
      <c r="L839" s="8"/>
      <c r="M839" s="15"/>
      <c r="N839" s="15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17"/>
      <c r="D840" s="17"/>
      <c r="E840" s="17"/>
      <c r="F840" s="17"/>
      <c r="G840" s="11"/>
      <c r="H840" s="11"/>
      <c r="I840" s="8"/>
      <c r="J840" s="14"/>
      <c r="K840" s="8"/>
      <c r="L840" s="8"/>
      <c r="M840" s="15"/>
      <c r="N840" s="15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17"/>
      <c r="D841" s="17"/>
      <c r="E841" s="17"/>
      <c r="F841" s="17"/>
      <c r="G841" s="11"/>
      <c r="H841" s="11"/>
      <c r="I841" s="8"/>
      <c r="J841" s="14"/>
      <c r="K841" s="8"/>
      <c r="L841" s="8"/>
      <c r="M841" s="15"/>
      <c r="N841" s="15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17"/>
      <c r="D842" s="17"/>
      <c r="E842" s="17"/>
      <c r="F842" s="17"/>
      <c r="G842" s="11"/>
      <c r="H842" s="11"/>
      <c r="I842" s="8"/>
      <c r="J842" s="14"/>
      <c r="K842" s="8"/>
      <c r="L842" s="8"/>
      <c r="M842" s="15"/>
      <c r="N842" s="15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17"/>
      <c r="D843" s="17"/>
      <c r="E843" s="17"/>
      <c r="F843" s="17"/>
      <c r="G843" s="11"/>
      <c r="H843" s="11"/>
      <c r="I843" s="8"/>
      <c r="J843" s="14"/>
      <c r="K843" s="8"/>
      <c r="L843" s="8"/>
      <c r="M843" s="15"/>
      <c r="N843" s="15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17"/>
      <c r="D844" s="17"/>
      <c r="E844" s="17"/>
      <c r="F844" s="17"/>
      <c r="G844" s="11"/>
      <c r="H844" s="11"/>
      <c r="I844" s="8"/>
      <c r="J844" s="14"/>
      <c r="K844" s="8"/>
      <c r="L844" s="8"/>
      <c r="M844" s="15"/>
      <c r="N844" s="15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17"/>
      <c r="D845" s="17"/>
      <c r="E845" s="17"/>
      <c r="F845" s="17"/>
      <c r="G845" s="11"/>
      <c r="H845" s="11"/>
      <c r="I845" s="8"/>
      <c r="J845" s="14"/>
      <c r="K845" s="8"/>
      <c r="L845" s="8"/>
      <c r="M845" s="15"/>
      <c r="N845" s="15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17"/>
      <c r="D846" s="17"/>
      <c r="E846" s="17"/>
      <c r="F846" s="17"/>
      <c r="G846" s="11"/>
      <c r="H846" s="11"/>
      <c r="I846" s="8"/>
      <c r="J846" s="14"/>
      <c r="K846" s="8"/>
      <c r="L846" s="8"/>
      <c r="M846" s="15"/>
      <c r="N846" s="15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17"/>
      <c r="D847" s="17"/>
      <c r="E847" s="17"/>
      <c r="F847" s="17"/>
      <c r="G847" s="11"/>
      <c r="H847" s="11"/>
      <c r="I847" s="8"/>
      <c r="J847" s="14"/>
      <c r="K847" s="8"/>
      <c r="L847" s="8"/>
      <c r="M847" s="15"/>
      <c r="N847" s="15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17"/>
      <c r="D848" s="17"/>
      <c r="E848" s="17"/>
      <c r="F848" s="17"/>
      <c r="G848" s="11"/>
      <c r="H848" s="11"/>
      <c r="I848" s="8"/>
      <c r="J848" s="14"/>
      <c r="K848" s="8"/>
      <c r="L848" s="8"/>
      <c r="M848" s="15"/>
      <c r="N848" s="15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17"/>
      <c r="D849" s="17"/>
      <c r="E849" s="17"/>
      <c r="F849" s="17"/>
      <c r="G849" s="11"/>
      <c r="H849" s="11"/>
      <c r="I849" s="8"/>
      <c r="J849" s="14"/>
      <c r="K849" s="8"/>
      <c r="L849" s="8"/>
      <c r="M849" s="15"/>
      <c r="N849" s="15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17"/>
      <c r="D850" s="17"/>
      <c r="E850" s="17"/>
      <c r="F850" s="17"/>
      <c r="G850" s="11"/>
      <c r="H850" s="11"/>
      <c r="I850" s="8"/>
      <c r="J850" s="14"/>
      <c r="K850" s="8"/>
      <c r="L850" s="8"/>
      <c r="M850" s="15"/>
      <c r="N850" s="15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17"/>
      <c r="D851" s="17"/>
      <c r="E851" s="17"/>
      <c r="F851" s="17"/>
      <c r="G851" s="11"/>
      <c r="H851" s="11"/>
      <c r="I851" s="8"/>
      <c r="J851" s="14"/>
      <c r="K851" s="8"/>
      <c r="L851" s="8"/>
      <c r="M851" s="15"/>
      <c r="N851" s="15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17"/>
      <c r="D852" s="17"/>
      <c r="E852" s="17"/>
      <c r="F852" s="17"/>
      <c r="G852" s="11"/>
      <c r="H852" s="11"/>
      <c r="I852" s="8"/>
      <c r="J852" s="14"/>
      <c r="K852" s="8"/>
      <c r="L852" s="8"/>
      <c r="M852" s="15"/>
      <c r="N852" s="15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17"/>
      <c r="D853" s="17"/>
      <c r="E853" s="17"/>
      <c r="F853" s="17"/>
      <c r="G853" s="11"/>
      <c r="H853" s="11"/>
      <c r="I853" s="8"/>
      <c r="J853" s="14"/>
      <c r="K853" s="8"/>
      <c r="L853" s="8"/>
      <c r="M853" s="15"/>
      <c r="N853" s="15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17"/>
      <c r="D854" s="17"/>
      <c r="E854" s="17"/>
      <c r="F854" s="17"/>
      <c r="G854" s="11"/>
      <c r="H854" s="11"/>
      <c r="I854" s="8"/>
      <c r="J854" s="14"/>
      <c r="K854" s="8"/>
      <c r="L854" s="8"/>
      <c r="M854" s="15"/>
      <c r="N854" s="15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17"/>
      <c r="D855" s="17"/>
      <c r="E855" s="17"/>
      <c r="F855" s="17"/>
      <c r="G855" s="11"/>
      <c r="H855" s="11"/>
      <c r="I855" s="8"/>
      <c r="J855" s="14"/>
      <c r="K855" s="8"/>
      <c r="L855" s="8"/>
      <c r="M855" s="15"/>
      <c r="N855" s="15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17"/>
      <c r="D856" s="17"/>
      <c r="E856" s="17"/>
      <c r="F856" s="17"/>
      <c r="G856" s="11"/>
      <c r="H856" s="11"/>
      <c r="I856" s="8"/>
      <c r="J856" s="14"/>
      <c r="K856" s="8"/>
      <c r="L856" s="8"/>
      <c r="M856" s="15"/>
      <c r="N856" s="15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17"/>
      <c r="D857" s="17"/>
      <c r="E857" s="17"/>
      <c r="F857" s="17"/>
      <c r="G857" s="11"/>
      <c r="H857" s="11"/>
      <c r="I857" s="8"/>
      <c r="J857" s="14"/>
      <c r="K857" s="8"/>
      <c r="L857" s="8"/>
      <c r="M857" s="15"/>
      <c r="N857" s="15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17"/>
      <c r="D858" s="17"/>
      <c r="E858" s="17"/>
      <c r="F858" s="17"/>
      <c r="G858" s="11"/>
      <c r="H858" s="11"/>
      <c r="I858" s="8"/>
      <c r="J858" s="14"/>
      <c r="K858" s="8"/>
      <c r="L858" s="8"/>
      <c r="M858" s="15"/>
      <c r="N858" s="15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17"/>
      <c r="D859" s="17"/>
      <c r="E859" s="17"/>
      <c r="F859" s="17"/>
      <c r="G859" s="11"/>
      <c r="H859" s="11"/>
      <c r="I859" s="8"/>
      <c r="J859" s="14"/>
      <c r="K859" s="8"/>
      <c r="L859" s="8"/>
      <c r="M859" s="15"/>
      <c r="N859" s="15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17"/>
      <c r="D860" s="17"/>
      <c r="E860" s="17"/>
      <c r="F860" s="17"/>
      <c r="G860" s="11"/>
      <c r="H860" s="11"/>
      <c r="I860" s="8"/>
      <c r="J860" s="14"/>
      <c r="K860" s="8"/>
      <c r="L860" s="8"/>
      <c r="M860" s="15"/>
      <c r="N860" s="15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17"/>
      <c r="D861" s="17"/>
      <c r="E861" s="17"/>
      <c r="F861" s="17"/>
      <c r="G861" s="11"/>
      <c r="H861" s="11"/>
      <c r="I861" s="8"/>
      <c r="J861" s="14"/>
      <c r="K861" s="8"/>
      <c r="L861" s="8"/>
      <c r="M861" s="15"/>
      <c r="N861" s="15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17"/>
      <c r="D862" s="17"/>
      <c r="E862" s="17"/>
      <c r="F862" s="17"/>
      <c r="G862" s="11"/>
      <c r="H862" s="11"/>
      <c r="I862" s="8"/>
      <c r="J862" s="14"/>
      <c r="K862" s="8"/>
      <c r="L862" s="8"/>
      <c r="M862" s="15"/>
      <c r="N862" s="15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17"/>
      <c r="D863" s="17"/>
      <c r="E863" s="17"/>
      <c r="F863" s="17"/>
      <c r="G863" s="11"/>
      <c r="H863" s="11"/>
      <c r="I863" s="8"/>
      <c r="J863" s="14"/>
      <c r="K863" s="8"/>
      <c r="L863" s="8"/>
      <c r="M863" s="15"/>
      <c r="N863" s="15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17"/>
      <c r="D864" s="17"/>
      <c r="E864" s="17"/>
      <c r="F864" s="17"/>
      <c r="G864" s="11"/>
      <c r="H864" s="11"/>
      <c r="I864" s="8"/>
      <c r="J864" s="14"/>
      <c r="K864" s="8"/>
      <c r="L864" s="8"/>
      <c r="M864" s="15"/>
      <c r="N864" s="15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17"/>
      <c r="D865" s="17"/>
      <c r="E865" s="17"/>
      <c r="F865" s="17"/>
      <c r="G865" s="11"/>
      <c r="H865" s="11"/>
      <c r="I865" s="8"/>
      <c r="J865" s="14"/>
      <c r="K865" s="8"/>
      <c r="L865" s="8"/>
      <c r="M865" s="15"/>
      <c r="N865" s="15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17"/>
      <c r="D866" s="17"/>
      <c r="E866" s="17"/>
      <c r="F866" s="17"/>
      <c r="G866" s="11"/>
      <c r="H866" s="11"/>
      <c r="I866" s="8"/>
      <c r="J866" s="14"/>
      <c r="K866" s="8"/>
      <c r="L866" s="8"/>
      <c r="M866" s="15"/>
      <c r="N866" s="15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17"/>
      <c r="D867" s="17"/>
      <c r="E867" s="17"/>
      <c r="F867" s="17"/>
      <c r="G867" s="11"/>
      <c r="H867" s="11"/>
      <c r="I867" s="8"/>
      <c r="J867" s="14"/>
      <c r="K867" s="8"/>
      <c r="L867" s="8"/>
      <c r="M867" s="15"/>
      <c r="N867" s="15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17"/>
      <c r="D868" s="17"/>
      <c r="E868" s="17"/>
      <c r="F868" s="17"/>
      <c r="G868" s="11"/>
      <c r="H868" s="11"/>
      <c r="I868" s="8"/>
      <c r="J868" s="14"/>
      <c r="K868" s="8"/>
      <c r="L868" s="8"/>
      <c r="M868" s="15"/>
      <c r="N868" s="15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17"/>
      <c r="D869" s="17"/>
      <c r="E869" s="17"/>
      <c r="F869" s="17"/>
      <c r="G869" s="11"/>
      <c r="H869" s="11"/>
      <c r="I869" s="8"/>
      <c r="J869" s="14"/>
      <c r="K869" s="8"/>
      <c r="L869" s="8"/>
      <c r="M869" s="15"/>
      <c r="N869" s="15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17"/>
      <c r="D870" s="17"/>
      <c r="E870" s="17"/>
      <c r="F870" s="17"/>
      <c r="G870" s="11"/>
      <c r="H870" s="11"/>
      <c r="I870" s="8"/>
      <c r="J870" s="14"/>
      <c r="K870" s="8"/>
      <c r="L870" s="8"/>
      <c r="M870" s="15"/>
      <c r="N870" s="15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17"/>
      <c r="D871" s="17"/>
      <c r="E871" s="17"/>
      <c r="F871" s="17"/>
      <c r="G871" s="11"/>
      <c r="H871" s="11"/>
      <c r="I871" s="8"/>
      <c r="J871" s="14"/>
      <c r="K871" s="8"/>
      <c r="L871" s="8"/>
      <c r="M871" s="15"/>
      <c r="N871" s="15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17"/>
      <c r="D872" s="17"/>
      <c r="E872" s="17"/>
      <c r="F872" s="17"/>
      <c r="G872" s="11"/>
      <c r="H872" s="11"/>
      <c r="I872" s="8"/>
      <c r="J872" s="14"/>
      <c r="K872" s="8"/>
      <c r="L872" s="8"/>
      <c r="M872" s="15"/>
      <c r="N872" s="15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17"/>
      <c r="D873" s="17"/>
      <c r="E873" s="17"/>
      <c r="F873" s="17"/>
      <c r="G873" s="11"/>
      <c r="H873" s="11"/>
      <c r="I873" s="8"/>
      <c r="J873" s="14"/>
      <c r="K873" s="8"/>
      <c r="L873" s="8"/>
      <c r="M873" s="15"/>
      <c r="N873" s="15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17"/>
      <c r="D874" s="17"/>
      <c r="E874" s="17"/>
      <c r="F874" s="17"/>
      <c r="G874" s="11"/>
      <c r="H874" s="11"/>
      <c r="I874" s="8"/>
      <c r="J874" s="14"/>
      <c r="K874" s="8"/>
      <c r="L874" s="8"/>
      <c r="M874" s="15"/>
      <c r="N874" s="15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17"/>
      <c r="D875" s="17"/>
      <c r="E875" s="17"/>
      <c r="F875" s="17"/>
      <c r="G875" s="11"/>
      <c r="H875" s="11"/>
      <c r="I875" s="8"/>
      <c r="J875" s="14"/>
      <c r="K875" s="8"/>
      <c r="L875" s="8"/>
      <c r="M875" s="15"/>
      <c r="N875" s="15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17"/>
      <c r="D876" s="17"/>
      <c r="E876" s="17"/>
      <c r="F876" s="17"/>
      <c r="G876" s="11"/>
      <c r="H876" s="11"/>
      <c r="I876" s="8"/>
      <c r="J876" s="14"/>
      <c r="K876" s="8"/>
      <c r="L876" s="8"/>
      <c r="M876" s="15"/>
      <c r="N876" s="15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17"/>
      <c r="D877" s="17"/>
      <c r="E877" s="17"/>
      <c r="F877" s="17"/>
      <c r="G877" s="11"/>
      <c r="H877" s="11"/>
      <c r="I877" s="8"/>
      <c r="J877" s="14"/>
      <c r="K877" s="8"/>
      <c r="L877" s="8"/>
      <c r="M877" s="15"/>
      <c r="N877" s="15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17"/>
      <c r="D878" s="17"/>
      <c r="E878" s="17"/>
      <c r="F878" s="17"/>
      <c r="G878" s="11"/>
      <c r="H878" s="11"/>
      <c r="I878" s="8"/>
      <c r="J878" s="14"/>
      <c r="K878" s="8"/>
      <c r="L878" s="8"/>
      <c r="M878" s="15"/>
      <c r="N878" s="15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17"/>
      <c r="D879" s="17"/>
      <c r="E879" s="17"/>
      <c r="F879" s="17"/>
      <c r="G879" s="11"/>
      <c r="H879" s="11"/>
      <c r="I879" s="8"/>
      <c r="J879" s="14"/>
      <c r="K879" s="8"/>
      <c r="L879" s="8"/>
      <c r="M879" s="15"/>
      <c r="N879" s="15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17"/>
      <c r="D880" s="17"/>
      <c r="E880" s="17"/>
      <c r="F880" s="17"/>
      <c r="G880" s="11"/>
      <c r="H880" s="11"/>
      <c r="I880" s="8"/>
      <c r="J880" s="14"/>
      <c r="K880" s="8"/>
      <c r="L880" s="8"/>
      <c r="M880" s="15"/>
      <c r="N880" s="15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17"/>
      <c r="D881" s="17"/>
      <c r="E881" s="17"/>
      <c r="F881" s="17"/>
      <c r="G881" s="11"/>
      <c r="H881" s="11"/>
      <c r="I881" s="8"/>
      <c r="J881" s="14"/>
      <c r="K881" s="8"/>
      <c r="L881" s="8"/>
      <c r="M881" s="15"/>
      <c r="N881" s="15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17"/>
      <c r="D882" s="17"/>
      <c r="E882" s="17"/>
      <c r="F882" s="17"/>
      <c r="G882" s="11"/>
      <c r="H882" s="11"/>
      <c r="I882" s="8"/>
      <c r="J882" s="14"/>
      <c r="K882" s="8"/>
      <c r="L882" s="8"/>
      <c r="M882" s="15"/>
      <c r="N882" s="15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17"/>
      <c r="D883" s="17"/>
      <c r="E883" s="17"/>
      <c r="F883" s="17"/>
      <c r="G883" s="11"/>
      <c r="H883" s="11"/>
      <c r="I883" s="8"/>
      <c r="J883" s="14"/>
      <c r="K883" s="8"/>
      <c r="L883" s="8"/>
      <c r="M883" s="15"/>
      <c r="N883" s="15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17"/>
      <c r="D884" s="17"/>
      <c r="E884" s="17"/>
      <c r="F884" s="17"/>
      <c r="G884" s="11"/>
      <c r="H884" s="11"/>
      <c r="I884" s="8"/>
      <c r="J884" s="14"/>
      <c r="K884" s="8"/>
      <c r="L884" s="8"/>
      <c r="M884" s="15"/>
      <c r="N884" s="15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17"/>
      <c r="D885" s="17"/>
      <c r="E885" s="17"/>
      <c r="F885" s="17"/>
      <c r="G885" s="11"/>
      <c r="H885" s="11"/>
      <c r="I885" s="8"/>
      <c r="J885" s="14"/>
      <c r="K885" s="8"/>
      <c r="L885" s="8"/>
      <c r="M885" s="15"/>
      <c r="N885" s="15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17"/>
      <c r="D886" s="17"/>
      <c r="E886" s="17"/>
      <c r="F886" s="17"/>
      <c r="G886" s="11"/>
      <c r="H886" s="11"/>
      <c r="I886" s="8"/>
      <c r="J886" s="14"/>
      <c r="K886" s="8"/>
      <c r="L886" s="8"/>
      <c r="M886" s="15"/>
      <c r="N886" s="15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17"/>
      <c r="D887" s="17"/>
      <c r="E887" s="17"/>
      <c r="F887" s="17"/>
      <c r="G887" s="11"/>
      <c r="H887" s="11"/>
      <c r="I887" s="8"/>
      <c r="J887" s="14"/>
      <c r="K887" s="8"/>
      <c r="L887" s="8"/>
      <c r="M887" s="15"/>
      <c r="N887" s="15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17"/>
      <c r="D888" s="17"/>
      <c r="E888" s="17"/>
      <c r="F888" s="17"/>
      <c r="G888" s="11"/>
      <c r="H888" s="11"/>
      <c r="I888" s="8"/>
      <c r="J888" s="14"/>
      <c r="K888" s="8"/>
      <c r="L888" s="8"/>
      <c r="M888" s="15"/>
      <c r="N888" s="15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17"/>
      <c r="D889" s="17"/>
      <c r="E889" s="17"/>
      <c r="F889" s="17"/>
      <c r="G889" s="11"/>
      <c r="H889" s="11"/>
      <c r="I889" s="8"/>
      <c r="J889" s="14"/>
      <c r="K889" s="8"/>
      <c r="L889" s="8"/>
      <c r="M889" s="15"/>
      <c r="N889" s="15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17"/>
      <c r="D890" s="17"/>
      <c r="E890" s="17"/>
      <c r="F890" s="17"/>
      <c r="G890" s="11"/>
      <c r="H890" s="11"/>
      <c r="I890" s="8"/>
      <c r="J890" s="14"/>
      <c r="K890" s="8"/>
      <c r="L890" s="8"/>
      <c r="M890" s="15"/>
      <c r="N890" s="15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17"/>
      <c r="D891" s="17"/>
      <c r="E891" s="17"/>
      <c r="F891" s="17"/>
      <c r="G891" s="11"/>
      <c r="H891" s="11"/>
      <c r="I891" s="8"/>
      <c r="J891" s="14"/>
      <c r="K891" s="8"/>
      <c r="L891" s="8"/>
      <c r="M891" s="15"/>
      <c r="N891" s="15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17"/>
      <c r="D892" s="17"/>
      <c r="E892" s="17"/>
      <c r="F892" s="17"/>
      <c r="G892" s="11"/>
      <c r="H892" s="11"/>
      <c r="I892" s="8"/>
      <c r="J892" s="14"/>
      <c r="K892" s="8"/>
      <c r="L892" s="8"/>
      <c r="M892" s="15"/>
      <c r="N892" s="15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17"/>
      <c r="D893" s="17"/>
      <c r="E893" s="17"/>
      <c r="F893" s="17"/>
      <c r="G893" s="11"/>
      <c r="H893" s="11"/>
      <c r="I893" s="8"/>
      <c r="J893" s="14"/>
      <c r="K893" s="8"/>
      <c r="L893" s="8"/>
      <c r="M893" s="15"/>
      <c r="N893" s="15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17"/>
      <c r="D894" s="17"/>
      <c r="E894" s="17"/>
      <c r="F894" s="17"/>
      <c r="G894" s="11"/>
      <c r="H894" s="11"/>
      <c r="I894" s="8"/>
      <c r="J894" s="14"/>
      <c r="K894" s="8"/>
      <c r="L894" s="8"/>
      <c r="M894" s="15"/>
      <c r="N894" s="15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17"/>
      <c r="D895" s="17"/>
      <c r="E895" s="17"/>
      <c r="F895" s="17"/>
      <c r="G895" s="11"/>
      <c r="H895" s="11"/>
      <c r="I895" s="8"/>
      <c r="J895" s="14"/>
      <c r="K895" s="8"/>
      <c r="L895" s="8"/>
      <c r="M895" s="15"/>
      <c r="N895" s="15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17"/>
      <c r="D896" s="17"/>
      <c r="E896" s="17"/>
      <c r="F896" s="17"/>
      <c r="G896" s="11"/>
      <c r="H896" s="11"/>
      <c r="I896" s="8"/>
      <c r="J896" s="14"/>
      <c r="K896" s="8"/>
      <c r="L896" s="8"/>
      <c r="M896" s="15"/>
      <c r="N896" s="15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17"/>
      <c r="D897" s="17"/>
      <c r="E897" s="17"/>
      <c r="F897" s="17"/>
      <c r="G897" s="11"/>
      <c r="H897" s="11"/>
      <c r="I897" s="8"/>
      <c r="J897" s="14"/>
      <c r="K897" s="8"/>
      <c r="L897" s="8"/>
      <c r="M897" s="15"/>
      <c r="N897" s="15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17"/>
      <c r="D898" s="17"/>
      <c r="E898" s="17"/>
      <c r="F898" s="17"/>
      <c r="G898" s="11"/>
      <c r="H898" s="11"/>
      <c r="I898" s="8"/>
      <c r="J898" s="14"/>
      <c r="K898" s="8"/>
      <c r="L898" s="8"/>
      <c r="M898" s="15"/>
      <c r="N898" s="15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17"/>
      <c r="D899" s="17"/>
      <c r="E899" s="17"/>
      <c r="F899" s="17"/>
      <c r="G899" s="11"/>
      <c r="H899" s="11"/>
      <c r="I899" s="8"/>
      <c r="J899" s="14"/>
      <c r="K899" s="8"/>
      <c r="L899" s="8"/>
      <c r="M899" s="15"/>
      <c r="N899" s="15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17"/>
      <c r="D900" s="17"/>
      <c r="E900" s="17"/>
      <c r="F900" s="17"/>
      <c r="G900" s="11"/>
      <c r="H900" s="11"/>
      <c r="I900" s="8"/>
      <c r="J900" s="14"/>
      <c r="K900" s="8"/>
      <c r="L900" s="8"/>
      <c r="M900" s="15"/>
      <c r="N900" s="15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17"/>
      <c r="D901" s="17"/>
      <c r="E901" s="17"/>
      <c r="F901" s="17"/>
      <c r="G901" s="11"/>
      <c r="H901" s="11"/>
      <c r="I901" s="8"/>
      <c r="J901" s="14"/>
      <c r="K901" s="8"/>
      <c r="L901" s="8"/>
      <c r="M901" s="15"/>
      <c r="N901" s="15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17"/>
      <c r="D902" s="17"/>
      <c r="E902" s="17"/>
      <c r="F902" s="17"/>
      <c r="G902" s="11"/>
      <c r="H902" s="11"/>
      <c r="I902" s="8"/>
      <c r="J902" s="14"/>
      <c r="K902" s="8"/>
      <c r="L902" s="8"/>
      <c r="M902" s="15"/>
      <c r="N902" s="15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17"/>
      <c r="D903" s="17"/>
      <c r="E903" s="17"/>
      <c r="F903" s="17"/>
      <c r="G903" s="11"/>
      <c r="H903" s="11"/>
      <c r="I903" s="8"/>
      <c r="J903" s="14"/>
      <c r="K903" s="8"/>
      <c r="L903" s="8"/>
      <c r="M903" s="15"/>
      <c r="N903" s="15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17"/>
      <c r="D904" s="17"/>
      <c r="E904" s="17"/>
      <c r="F904" s="17"/>
      <c r="G904" s="11"/>
      <c r="H904" s="11"/>
      <c r="I904" s="8"/>
      <c r="J904" s="14"/>
      <c r="K904" s="8"/>
      <c r="L904" s="8"/>
      <c r="M904" s="15"/>
      <c r="N904" s="15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17"/>
      <c r="D905" s="17"/>
      <c r="E905" s="17"/>
      <c r="F905" s="17"/>
      <c r="G905" s="11"/>
      <c r="H905" s="11"/>
      <c r="I905" s="8"/>
      <c r="J905" s="14"/>
      <c r="K905" s="8"/>
      <c r="L905" s="8"/>
      <c r="M905" s="15"/>
      <c r="N905" s="15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17"/>
      <c r="D906" s="17"/>
      <c r="E906" s="17"/>
      <c r="F906" s="17"/>
      <c r="G906" s="11"/>
      <c r="H906" s="11"/>
      <c r="I906" s="8"/>
      <c r="J906" s="14"/>
      <c r="K906" s="8"/>
      <c r="L906" s="8"/>
      <c r="M906" s="15"/>
      <c r="N906" s="15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17"/>
      <c r="D907" s="17"/>
      <c r="E907" s="17"/>
      <c r="F907" s="17"/>
      <c r="G907" s="11"/>
      <c r="H907" s="11"/>
      <c r="I907" s="8"/>
      <c r="J907" s="14"/>
      <c r="K907" s="8"/>
      <c r="L907" s="8"/>
      <c r="M907" s="15"/>
      <c r="N907" s="15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17"/>
      <c r="D908" s="17"/>
      <c r="E908" s="17"/>
      <c r="F908" s="17"/>
      <c r="G908" s="11"/>
      <c r="H908" s="11"/>
      <c r="I908" s="8"/>
      <c r="J908" s="14"/>
      <c r="K908" s="8"/>
      <c r="L908" s="8"/>
      <c r="M908" s="15"/>
      <c r="N908" s="15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17"/>
      <c r="D909" s="17"/>
      <c r="E909" s="17"/>
      <c r="F909" s="17"/>
      <c r="G909" s="11"/>
      <c r="H909" s="11"/>
      <c r="I909" s="8"/>
      <c r="J909" s="14"/>
      <c r="K909" s="8"/>
      <c r="L909" s="8"/>
      <c r="M909" s="15"/>
      <c r="N909" s="15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17"/>
      <c r="D910" s="17"/>
      <c r="E910" s="17"/>
      <c r="F910" s="17"/>
      <c r="G910" s="11"/>
      <c r="H910" s="11"/>
      <c r="I910" s="8"/>
      <c r="J910" s="14"/>
      <c r="K910" s="8"/>
      <c r="L910" s="8"/>
      <c r="M910" s="15"/>
      <c r="N910" s="15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17"/>
      <c r="D911" s="17"/>
      <c r="E911" s="17"/>
      <c r="F911" s="17"/>
      <c r="G911" s="11"/>
      <c r="H911" s="11"/>
      <c r="I911" s="8"/>
      <c r="J911" s="14"/>
      <c r="K911" s="8"/>
      <c r="L911" s="8"/>
      <c r="M911" s="15"/>
      <c r="N911" s="15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17"/>
      <c r="D912" s="17"/>
      <c r="E912" s="17"/>
      <c r="F912" s="17"/>
      <c r="G912" s="11"/>
      <c r="H912" s="11"/>
      <c r="I912" s="8"/>
      <c r="J912" s="14"/>
      <c r="K912" s="8"/>
      <c r="L912" s="8"/>
      <c r="M912" s="15"/>
      <c r="N912" s="15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17"/>
      <c r="D913" s="17"/>
      <c r="E913" s="17"/>
      <c r="F913" s="17"/>
      <c r="G913" s="11"/>
      <c r="H913" s="11"/>
      <c r="I913" s="8"/>
      <c r="J913" s="14"/>
      <c r="K913" s="8"/>
      <c r="L913" s="8"/>
      <c r="M913" s="15"/>
      <c r="N913" s="15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17"/>
      <c r="D914" s="17"/>
      <c r="E914" s="17"/>
      <c r="F914" s="17"/>
      <c r="G914" s="11"/>
      <c r="H914" s="11"/>
      <c r="I914" s="8"/>
      <c r="J914" s="14"/>
      <c r="K914" s="8"/>
      <c r="L914" s="8"/>
      <c r="M914" s="15"/>
      <c r="N914" s="15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17"/>
      <c r="D915" s="17"/>
      <c r="E915" s="17"/>
      <c r="F915" s="17"/>
      <c r="G915" s="11"/>
      <c r="H915" s="11"/>
      <c r="I915" s="8"/>
      <c r="J915" s="14"/>
      <c r="K915" s="8"/>
      <c r="L915" s="8"/>
      <c r="M915" s="15"/>
      <c r="N915" s="15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17"/>
      <c r="D916" s="17"/>
      <c r="E916" s="17"/>
      <c r="F916" s="17"/>
      <c r="G916" s="11"/>
      <c r="H916" s="11"/>
      <c r="I916" s="8"/>
      <c r="J916" s="14"/>
      <c r="K916" s="8"/>
      <c r="L916" s="8"/>
      <c r="M916" s="15"/>
      <c r="N916" s="15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17"/>
      <c r="D917" s="17"/>
      <c r="E917" s="17"/>
      <c r="F917" s="17"/>
      <c r="G917" s="11"/>
      <c r="H917" s="11"/>
      <c r="I917" s="8"/>
      <c r="J917" s="14"/>
      <c r="K917" s="8"/>
      <c r="L917" s="8"/>
      <c r="M917" s="15"/>
      <c r="N917" s="15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17"/>
      <c r="D918" s="17"/>
      <c r="E918" s="17"/>
      <c r="F918" s="17"/>
      <c r="G918" s="11"/>
      <c r="H918" s="11"/>
      <c r="I918" s="8"/>
      <c r="J918" s="14"/>
      <c r="K918" s="8"/>
      <c r="L918" s="8"/>
      <c r="M918" s="15"/>
      <c r="N918" s="15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17"/>
      <c r="D919" s="17"/>
      <c r="E919" s="17"/>
      <c r="F919" s="17"/>
      <c r="G919" s="11"/>
      <c r="H919" s="11"/>
      <c r="I919" s="8"/>
      <c r="J919" s="14"/>
      <c r="K919" s="8"/>
      <c r="L919" s="8"/>
      <c r="M919" s="15"/>
      <c r="N919" s="15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17"/>
      <c r="D920" s="17"/>
      <c r="E920" s="17"/>
      <c r="F920" s="17"/>
      <c r="G920" s="11"/>
      <c r="H920" s="11"/>
      <c r="I920" s="8"/>
      <c r="J920" s="14"/>
      <c r="K920" s="8"/>
      <c r="L920" s="8"/>
      <c r="M920" s="15"/>
      <c r="N920" s="15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17"/>
      <c r="D921" s="17"/>
      <c r="E921" s="17"/>
      <c r="F921" s="17"/>
      <c r="G921" s="11"/>
      <c r="H921" s="11"/>
      <c r="I921" s="8"/>
      <c r="J921" s="14"/>
      <c r="K921" s="8"/>
      <c r="L921" s="8"/>
      <c r="M921" s="15"/>
      <c r="N921" s="15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17"/>
      <c r="D922" s="17"/>
      <c r="E922" s="17"/>
      <c r="F922" s="17"/>
      <c r="G922" s="11"/>
      <c r="H922" s="11"/>
      <c r="I922" s="8"/>
      <c r="J922" s="14"/>
      <c r="K922" s="8"/>
      <c r="L922" s="8"/>
      <c r="M922" s="15"/>
      <c r="N922" s="15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17"/>
      <c r="D923" s="17"/>
      <c r="E923" s="17"/>
      <c r="F923" s="17"/>
      <c r="G923" s="11"/>
      <c r="H923" s="11"/>
      <c r="I923" s="8"/>
      <c r="J923" s="14"/>
      <c r="K923" s="8"/>
      <c r="L923" s="8"/>
      <c r="M923" s="15"/>
      <c r="N923" s="15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17"/>
      <c r="D924" s="17"/>
      <c r="E924" s="17"/>
      <c r="F924" s="17"/>
      <c r="G924" s="11"/>
      <c r="H924" s="11"/>
      <c r="I924" s="8"/>
      <c r="J924" s="14"/>
      <c r="K924" s="8"/>
      <c r="L924" s="8"/>
      <c r="M924" s="15"/>
      <c r="N924" s="15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17"/>
      <c r="D925" s="17"/>
      <c r="E925" s="17"/>
      <c r="F925" s="17"/>
      <c r="G925" s="11"/>
      <c r="H925" s="11"/>
      <c r="I925" s="8"/>
      <c r="J925" s="14"/>
      <c r="K925" s="8"/>
      <c r="L925" s="8"/>
      <c r="M925" s="15"/>
      <c r="N925" s="15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17"/>
      <c r="D926" s="17"/>
      <c r="E926" s="17"/>
      <c r="F926" s="17"/>
      <c r="G926" s="11"/>
      <c r="H926" s="11"/>
      <c r="I926" s="8"/>
      <c r="J926" s="14"/>
      <c r="K926" s="8"/>
      <c r="L926" s="8"/>
      <c r="M926" s="15"/>
      <c r="N926" s="15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17"/>
      <c r="D927" s="17"/>
      <c r="E927" s="17"/>
      <c r="F927" s="17"/>
      <c r="G927" s="11"/>
      <c r="H927" s="11"/>
      <c r="I927" s="8"/>
      <c r="J927" s="14"/>
      <c r="K927" s="8"/>
      <c r="L927" s="8"/>
      <c r="M927" s="15"/>
      <c r="N927" s="15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17"/>
      <c r="D928" s="17"/>
      <c r="E928" s="17"/>
      <c r="F928" s="17"/>
      <c r="G928" s="11"/>
      <c r="H928" s="11"/>
      <c r="I928" s="8"/>
      <c r="J928" s="14"/>
      <c r="K928" s="8"/>
      <c r="L928" s="8"/>
      <c r="M928" s="15"/>
      <c r="N928" s="15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17"/>
      <c r="D929" s="17"/>
      <c r="E929" s="17"/>
      <c r="F929" s="17"/>
      <c r="G929" s="11"/>
      <c r="H929" s="11"/>
      <c r="I929" s="8"/>
      <c r="J929" s="14"/>
      <c r="K929" s="8"/>
      <c r="L929" s="8"/>
      <c r="M929" s="15"/>
      <c r="N929" s="15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17"/>
      <c r="D930" s="17"/>
      <c r="E930" s="17"/>
      <c r="F930" s="17"/>
      <c r="G930" s="11"/>
      <c r="H930" s="11"/>
      <c r="I930" s="8"/>
      <c r="J930" s="14"/>
      <c r="K930" s="8"/>
      <c r="L930" s="8"/>
      <c r="M930" s="15"/>
      <c r="N930" s="15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17"/>
      <c r="D931" s="17"/>
      <c r="E931" s="17"/>
      <c r="F931" s="17"/>
      <c r="G931" s="11"/>
      <c r="H931" s="11"/>
      <c r="I931" s="8"/>
      <c r="J931" s="14"/>
      <c r="K931" s="8"/>
      <c r="L931" s="8"/>
      <c r="M931" s="15"/>
      <c r="N931" s="15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17"/>
      <c r="D932" s="17"/>
      <c r="E932" s="17"/>
      <c r="F932" s="17"/>
      <c r="G932" s="11"/>
      <c r="H932" s="11"/>
      <c r="I932" s="8"/>
      <c r="J932" s="14"/>
      <c r="K932" s="8"/>
      <c r="L932" s="8"/>
      <c r="M932" s="15"/>
      <c r="N932" s="15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17"/>
      <c r="D933" s="17"/>
      <c r="E933" s="17"/>
      <c r="F933" s="17"/>
      <c r="G933" s="11"/>
      <c r="H933" s="11"/>
      <c r="I933" s="8"/>
      <c r="J933" s="14"/>
      <c r="K933" s="8"/>
      <c r="L933" s="8"/>
      <c r="M933" s="15"/>
      <c r="N933" s="15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17"/>
      <c r="D934" s="17"/>
      <c r="E934" s="17"/>
      <c r="F934" s="17"/>
      <c r="G934" s="11"/>
      <c r="H934" s="11"/>
      <c r="I934" s="8"/>
      <c r="J934" s="14"/>
      <c r="K934" s="8"/>
      <c r="L934" s="8"/>
      <c r="M934" s="15"/>
      <c r="N934" s="15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17"/>
      <c r="D935" s="17"/>
      <c r="E935" s="17"/>
      <c r="F935" s="17"/>
      <c r="G935" s="11"/>
      <c r="H935" s="11"/>
      <c r="I935" s="8"/>
      <c r="J935" s="14"/>
      <c r="K935" s="8"/>
      <c r="L935" s="8"/>
      <c r="M935" s="15"/>
      <c r="N935" s="15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17"/>
      <c r="D936" s="17"/>
      <c r="E936" s="17"/>
      <c r="F936" s="17"/>
      <c r="G936" s="11"/>
      <c r="H936" s="11"/>
      <c r="I936" s="8"/>
      <c r="J936" s="14"/>
      <c r="K936" s="8"/>
      <c r="L936" s="8"/>
      <c r="M936" s="15"/>
      <c r="N936" s="15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17"/>
      <c r="D937" s="17"/>
      <c r="E937" s="17"/>
      <c r="F937" s="17"/>
      <c r="G937" s="11"/>
      <c r="H937" s="11"/>
      <c r="I937" s="8"/>
      <c r="J937" s="14"/>
      <c r="K937" s="8"/>
      <c r="L937" s="8"/>
      <c r="M937" s="15"/>
      <c r="N937" s="15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17"/>
      <c r="D938" s="17"/>
      <c r="E938" s="17"/>
      <c r="F938" s="17"/>
      <c r="G938" s="11"/>
      <c r="H938" s="11"/>
      <c r="I938" s="8"/>
      <c r="J938" s="14"/>
      <c r="K938" s="8"/>
      <c r="L938" s="8"/>
      <c r="M938" s="15"/>
      <c r="N938" s="15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17"/>
      <c r="D939" s="17"/>
      <c r="E939" s="17"/>
      <c r="F939" s="17"/>
      <c r="G939" s="11"/>
      <c r="H939" s="11"/>
      <c r="I939" s="8"/>
      <c r="J939" s="14"/>
      <c r="K939" s="8"/>
      <c r="L939" s="8"/>
      <c r="M939" s="15"/>
      <c r="N939" s="15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17"/>
      <c r="D940" s="17"/>
      <c r="E940" s="17"/>
      <c r="F940" s="17"/>
      <c r="G940" s="11"/>
      <c r="H940" s="11"/>
      <c r="I940" s="8"/>
      <c r="J940" s="14"/>
      <c r="K940" s="8"/>
      <c r="L940" s="8"/>
      <c r="M940" s="15"/>
      <c r="N940" s="15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17"/>
      <c r="D941" s="17"/>
      <c r="E941" s="17"/>
      <c r="F941" s="17"/>
      <c r="G941" s="11"/>
      <c r="H941" s="11"/>
      <c r="I941" s="8"/>
      <c r="J941" s="14"/>
      <c r="K941" s="8"/>
      <c r="L941" s="8"/>
      <c r="M941" s="15"/>
      <c r="N941" s="15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17"/>
      <c r="D942" s="17"/>
      <c r="E942" s="17"/>
      <c r="F942" s="17"/>
      <c r="G942" s="11"/>
      <c r="H942" s="11"/>
      <c r="I942" s="8"/>
      <c r="J942" s="14"/>
      <c r="K942" s="8"/>
      <c r="L942" s="8"/>
      <c r="M942" s="15"/>
      <c r="N942" s="15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17"/>
      <c r="D943" s="17"/>
      <c r="E943" s="17"/>
      <c r="F943" s="17"/>
      <c r="G943" s="11"/>
      <c r="H943" s="11"/>
      <c r="I943" s="8"/>
      <c r="J943" s="14"/>
      <c r="K943" s="8"/>
      <c r="L943" s="8"/>
      <c r="M943" s="15"/>
      <c r="N943" s="15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17"/>
      <c r="D944" s="17"/>
      <c r="E944" s="17"/>
      <c r="F944" s="17"/>
      <c r="G944" s="11"/>
      <c r="H944" s="11"/>
      <c r="I944" s="8"/>
      <c r="J944" s="14"/>
      <c r="K944" s="8"/>
      <c r="L944" s="8"/>
      <c r="M944" s="15"/>
      <c r="N944" s="15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17"/>
      <c r="D945" s="17"/>
      <c r="E945" s="17"/>
      <c r="F945" s="17"/>
      <c r="G945" s="11"/>
      <c r="H945" s="11"/>
      <c r="I945" s="8"/>
      <c r="J945" s="14"/>
      <c r="K945" s="8"/>
      <c r="L945" s="8"/>
      <c r="M945" s="15"/>
      <c r="N945" s="15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17"/>
      <c r="D946" s="17"/>
      <c r="E946" s="17"/>
      <c r="F946" s="17"/>
      <c r="G946" s="11"/>
      <c r="H946" s="11"/>
      <c r="I946" s="8"/>
      <c r="J946" s="14"/>
      <c r="K946" s="8"/>
      <c r="L946" s="8"/>
      <c r="M946" s="15"/>
      <c r="N946" s="15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17"/>
      <c r="D947" s="17"/>
      <c r="E947" s="17"/>
      <c r="F947" s="17"/>
      <c r="G947" s="11"/>
      <c r="H947" s="11"/>
      <c r="I947" s="8"/>
      <c r="J947" s="14"/>
      <c r="K947" s="8"/>
      <c r="L947" s="8"/>
      <c r="M947" s="15"/>
      <c r="N947" s="15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17"/>
      <c r="D948" s="17"/>
      <c r="E948" s="17"/>
      <c r="F948" s="17"/>
      <c r="G948" s="11"/>
      <c r="H948" s="11"/>
      <c r="I948" s="8"/>
      <c r="J948" s="14"/>
      <c r="K948" s="8"/>
      <c r="L948" s="8"/>
      <c r="M948" s="15"/>
      <c r="N948" s="15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17"/>
      <c r="D949" s="17"/>
      <c r="E949" s="17"/>
      <c r="F949" s="17"/>
      <c r="G949" s="11"/>
      <c r="H949" s="11"/>
      <c r="I949" s="8"/>
      <c r="J949" s="14"/>
      <c r="K949" s="8"/>
      <c r="L949" s="8"/>
      <c r="M949" s="15"/>
      <c r="N949" s="15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17"/>
      <c r="D950" s="17"/>
      <c r="E950" s="17"/>
      <c r="F950" s="17"/>
      <c r="G950" s="11"/>
      <c r="H950" s="11"/>
      <c r="I950" s="8"/>
      <c r="J950" s="14"/>
      <c r="K950" s="8"/>
      <c r="L950" s="8"/>
      <c r="M950" s="15"/>
      <c r="N950" s="15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17"/>
      <c r="D951" s="17"/>
      <c r="E951" s="17"/>
      <c r="F951" s="17"/>
      <c r="G951" s="11"/>
      <c r="H951" s="11"/>
      <c r="I951" s="8"/>
      <c r="J951" s="14"/>
      <c r="K951" s="8"/>
      <c r="L951" s="8"/>
      <c r="M951" s="15"/>
      <c r="N951" s="15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17"/>
      <c r="D952" s="17"/>
      <c r="E952" s="17"/>
      <c r="F952" s="17"/>
      <c r="G952" s="11"/>
      <c r="H952" s="11"/>
      <c r="I952" s="8"/>
      <c r="J952" s="14"/>
      <c r="K952" s="8"/>
      <c r="L952" s="8"/>
      <c r="M952" s="15"/>
      <c r="N952" s="15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17"/>
      <c r="D953" s="17"/>
      <c r="E953" s="17"/>
      <c r="F953" s="17"/>
      <c r="G953" s="11"/>
      <c r="H953" s="11"/>
      <c r="I953" s="8"/>
      <c r="J953" s="14"/>
      <c r="K953" s="8"/>
      <c r="L953" s="8"/>
      <c r="M953" s="15"/>
      <c r="N953" s="15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17"/>
      <c r="D954" s="17"/>
      <c r="E954" s="17"/>
      <c r="F954" s="17"/>
      <c r="G954" s="11"/>
      <c r="H954" s="11"/>
      <c r="I954" s="8"/>
      <c r="J954" s="14"/>
      <c r="K954" s="8"/>
      <c r="L954" s="8"/>
      <c r="M954" s="15"/>
      <c r="N954" s="15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17"/>
      <c r="D955" s="17"/>
      <c r="E955" s="17"/>
      <c r="F955" s="17"/>
      <c r="G955" s="11"/>
      <c r="H955" s="11"/>
      <c r="I955" s="8"/>
      <c r="J955" s="14"/>
      <c r="K955" s="8"/>
      <c r="L955" s="8"/>
      <c r="M955" s="15"/>
      <c r="N955" s="15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17"/>
      <c r="D956" s="17"/>
      <c r="E956" s="17"/>
      <c r="F956" s="17"/>
      <c r="G956" s="11"/>
      <c r="H956" s="11"/>
      <c r="I956" s="8"/>
      <c r="J956" s="14"/>
      <c r="K956" s="8"/>
      <c r="L956" s="8"/>
      <c r="M956" s="15"/>
      <c r="N956" s="15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17"/>
      <c r="D957" s="17"/>
      <c r="E957" s="17"/>
      <c r="F957" s="17"/>
      <c r="G957" s="11"/>
      <c r="H957" s="11"/>
      <c r="I957" s="8"/>
      <c r="J957" s="14"/>
      <c r="K957" s="8"/>
      <c r="L957" s="8"/>
      <c r="M957" s="15"/>
      <c r="N957" s="15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17"/>
      <c r="D958" s="17"/>
      <c r="E958" s="17"/>
      <c r="F958" s="17"/>
      <c r="G958" s="11"/>
      <c r="H958" s="11"/>
      <c r="I958" s="8"/>
      <c r="J958" s="14"/>
      <c r="K958" s="8"/>
      <c r="L958" s="8"/>
      <c r="M958" s="15"/>
      <c r="N958" s="15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17"/>
      <c r="D959" s="17"/>
      <c r="E959" s="17"/>
      <c r="F959" s="17"/>
      <c r="G959" s="11"/>
      <c r="H959" s="11"/>
      <c r="I959" s="8"/>
      <c r="J959" s="14"/>
      <c r="K959" s="8"/>
      <c r="L959" s="8"/>
      <c r="M959" s="15"/>
      <c r="N959" s="15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17"/>
      <c r="D960" s="17"/>
      <c r="E960" s="17"/>
      <c r="F960" s="17"/>
      <c r="G960" s="11"/>
      <c r="H960" s="11"/>
      <c r="I960" s="8"/>
      <c r="J960" s="14"/>
      <c r="K960" s="8"/>
      <c r="L960" s="8"/>
      <c r="M960" s="15"/>
      <c r="N960" s="15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17"/>
      <c r="D961" s="17"/>
      <c r="E961" s="17"/>
      <c r="F961" s="17"/>
      <c r="G961" s="11"/>
      <c r="H961" s="11"/>
      <c r="I961" s="8"/>
      <c r="J961" s="14"/>
      <c r="K961" s="8"/>
      <c r="L961" s="8"/>
      <c r="M961" s="15"/>
      <c r="N961" s="15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17"/>
      <c r="D962" s="17"/>
      <c r="E962" s="17"/>
      <c r="F962" s="17"/>
      <c r="G962" s="11"/>
      <c r="H962" s="11"/>
      <c r="I962" s="8"/>
      <c r="J962" s="14"/>
      <c r="K962" s="8"/>
      <c r="L962" s="8"/>
      <c r="M962" s="15"/>
      <c r="N962" s="15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17"/>
      <c r="D963" s="17"/>
      <c r="E963" s="17"/>
      <c r="F963" s="17"/>
      <c r="G963" s="11"/>
      <c r="H963" s="11"/>
      <c r="I963" s="8"/>
      <c r="J963" s="14"/>
      <c r="K963" s="8"/>
      <c r="L963" s="8"/>
      <c r="M963" s="15"/>
      <c r="N963" s="15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17"/>
      <c r="D964" s="17"/>
      <c r="E964" s="17"/>
      <c r="F964" s="17"/>
      <c r="G964" s="11"/>
      <c r="H964" s="11"/>
      <c r="I964" s="8"/>
      <c r="J964" s="14"/>
      <c r="K964" s="8"/>
      <c r="L964" s="8"/>
      <c r="M964" s="15"/>
      <c r="N964" s="15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17"/>
      <c r="D965" s="17"/>
      <c r="E965" s="17"/>
      <c r="F965" s="17"/>
      <c r="G965" s="11"/>
      <c r="H965" s="11"/>
      <c r="I965" s="8"/>
      <c r="J965" s="14"/>
      <c r="K965" s="8"/>
      <c r="L965" s="8"/>
      <c r="M965" s="15"/>
      <c r="N965" s="15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17"/>
      <c r="D966" s="17"/>
      <c r="E966" s="17"/>
      <c r="F966" s="17"/>
      <c r="G966" s="11"/>
      <c r="H966" s="11"/>
      <c r="I966" s="8"/>
      <c r="J966" s="14"/>
      <c r="K966" s="8"/>
      <c r="L966" s="8"/>
      <c r="M966" s="15"/>
      <c r="N966" s="15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17"/>
      <c r="D967" s="17"/>
      <c r="E967" s="17"/>
      <c r="F967" s="17"/>
      <c r="G967" s="11"/>
      <c r="H967" s="11"/>
      <c r="I967" s="8"/>
      <c r="J967" s="14"/>
      <c r="K967" s="8"/>
      <c r="L967" s="8"/>
      <c r="M967" s="15"/>
      <c r="N967" s="15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17"/>
      <c r="D968" s="17"/>
      <c r="E968" s="17"/>
      <c r="F968" s="17"/>
      <c r="G968" s="11"/>
      <c r="H968" s="11"/>
      <c r="I968" s="8"/>
      <c r="J968" s="14"/>
      <c r="K968" s="8"/>
      <c r="L968" s="8"/>
      <c r="M968" s="15"/>
      <c r="N968" s="15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17"/>
      <c r="D969" s="17"/>
      <c r="E969" s="17"/>
      <c r="F969" s="17"/>
      <c r="G969" s="11"/>
      <c r="H969" s="11"/>
      <c r="I969" s="8"/>
      <c r="J969" s="14"/>
      <c r="K969" s="8"/>
      <c r="L969" s="8"/>
      <c r="M969" s="15"/>
      <c r="N969" s="15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17"/>
      <c r="D970" s="17"/>
      <c r="E970" s="17"/>
      <c r="F970" s="17"/>
      <c r="G970" s="11"/>
      <c r="H970" s="11"/>
      <c r="I970" s="8"/>
      <c r="J970" s="14"/>
      <c r="K970" s="8"/>
      <c r="L970" s="8"/>
      <c r="M970" s="15"/>
      <c r="N970" s="15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17"/>
      <c r="D971" s="17"/>
      <c r="E971" s="17"/>
      <c r="F971" s="17"/>
      <c r="G971" s="11"/>
      <c r="H971" s="11"/>
      <c r="I971" s="8"/>
      <c r="J971" s="14"/>
      <c r="K971" s="8"/>
      <c r="L971" s="8"/>
      <c r="M971" s="15"/>
      <c r="N971" s="15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17"/>
      <c r="D972" s="17"/>
      <c r="E972" s="17"/>
      <c r="F972" s="17"/>
      <c r="G972" s="11"/>
      <c r="H972" s="11"/>
      <c r="I972" s="8"/>
      <c r="J972" s="14"/>
      <c r="K972" s="8"/>
      <c r="L972" s="8"/>
      <c r="M972" s="15"/>
      <c r="N972" s="15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17"/>
      <c r="D973" s="17"/>
      <c r="E973" s="17"/>
      <c r="F973" s="17"/>
      <c r="G973" s="11"/>
      <c r="H973" s="11"/>
      <c r="I973" s="8"/>
      <c r="J973" s="14"/>
      <c r="K973" s="8"/>
      <c r="L973" s="8"/>
      <c r="M973" s="15"/>
      <c r="N973" s="15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17"/>
      <c r="D974" s="17"/>
      <c r="E974" s="17"/>
      <c r="F974" s="17"/>
      <c r="G974" s="11"/>
      <c r="H974" s="11"/>
      <c r="I974" s="8"/>
      <c r="J974" s="14"/>
      <c r="K974" s="8"/>
      <c r="L974" s="8"/>
      <c r="M974" s="15"/>
      <c r="N974" s="15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17"/>
      <c r="D975" s="17"/>
      <c r="E975" s="17"/>
      <c r="F975" s="17"/>
      <c r="G975" s="11"/>
      <c r="H975" s="11"/>
      <c r="I975" s="8"/>
      <c r="J975" s="14"/>
      <c r="K975" s="8"/>
      <c r="L975" s="8"/>
      <c r="M975" s="15"/>
      <c r="N975" s="15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17"/>
      <c r="D976" s="17"/>
      <c r="E976" s="17"/>
      <c r="F976" s="17"/>
      <c r="G976" s="11"/>
      <c r="H976" s="11"/>
      <c r="I976" s="8"/>
      <c r="J976" s="14"/>
      <c r="K976" s="8"/>
      <c r="L976" s="8"/>
      <c r="M976" s="15"/>
      <c r="N976" s="15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17"/>
      <c r="D977" s="17"/>
      <c r="E977" s="17"/>
      <c r="F977" s="17"/>
      <c r="G977" s="11"/>
      <c r="H977" s="11"/>
      <c r="I977" s="8"/>
      <c r="J977" s="14"/>
      <c r="K977" s="8"/>
      <c r="L977" s="8"/>
      <c r="M977" s="15"/>
      <c r="N977" s="15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17"/>
      <c r="D978" s="17"/>
      <c r="E978" s="17"/>
      <c r="F978" s="17"/>
      <c r="G978" s="11"/>
      <c r="H978" s="11"/>
      <c r="I978" s="8"/>
      <c r="J978" s="14"/>
      <c r="K978" s="8"/>
      <c r="L978" s="8"/>
      <c r="M978" s="15"/>
      <c r="N978" s="15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17"/>
      <c r="D979" s="17"/>
      <c r="E979" s="17"/>
      <c r="F979" s="17"/>
      <c r="G979" s="11"/>
      <c r="H979" s="11"/>
      <c r="I979" s="8"/>
      <c r="J979" s="14"/>
      <c r="K979" s="8"/>
      <c r="L979" s="8"/>
      <c r="M979" s="15"/>
      <c r="N979" s="15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17"/>
      <c r="D980" s="17"/>
      <c r="E980" s="17"/>
      <c r="F980" s="17"/>
      <c r="G980" s="11"/>
      <c r="H980" s="11"/>
      <c r="I980" s="8"/>
      <c r="J980" s="14"/>
      <c r="K980" s="8"/>
      <c r="L980" s="8"/>
      <c r="M980" s="15"/>
      <c r="N980" s="15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17"/>
      <c r="D981" s="17"/>
      <c r="E981" s="17"/>
      <c r="F981" s="17"/>
      <c r="G981" s="11"/>
      <c r="H981" s="11"/>
      <c r="I981" s="8"/>
      <c r="J981" s="14"/>
      <c r="K981" s="8"/>
      <c r="L981" s="8"/>
      <c r="M981" s="15"/>
      <c r="N981" s="15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17"/>
      <c r="D982" s="17"/>
      <c r="E982" s="17"/>
      <c r="F982" s="17"/>
      <c r="G982" s="11"/>
      <c r="H982" s="11"/>
      <c r="I982" s="8"/>
      <c r="J982" s="14"/>
      <c r="K982" s="8"/>
      <c r="L982" s="8"/>
      <c r="M982" s="15"/>
      <c r="N982" s="15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17"/>
      <c r="D983" s="17"/>
      <c r="E983" s="17"/>
      <c r="F983" s="17"/>
      <c r="G983" s="11"/>
      <c r="H983" s="11"/>
      <c r="I983" s="8"/>
      <c r="J983" s="14"/>
      <c r="K983" s="8"/>
      <c r="L983" s="8"/>
      <c r="M983" s="15"/>
      <c r="N983" s="15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17"/>
      <c r="D984" s="17"/>
      <c r="E984" s="17"/>
      <c r="F984" s="17"/>
      <c r="G984" s="11"/>
      <c r="H984" s="11"/>
      <c r="I984" s="8"/>
      <c r="J984" s="14"/>
      <c r="K984" s="8"/>
      <c r="L984" s="8"/>
      <c r="M984" s="15"/>
      <c r="N984" s="15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17"/>
      <c r="D985" s="17"/>
      <c r="E985" s="17"/>
      <c r="F985" s="17"/>
      <c r="G985" s="11"/>
      <c r="H985" s="11"/>
      <c r="I985" s="8"/>
      <c r="J985" s="14"/>
      <c r="K985" s="8"/>
      <c r="L985" s="8"/>
      <c r="M985" s="15"/>
      <c r="N985" s="15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17"/>
      <c r="D986" s="17"/>
      <c r="E986" s="17"/>
      <c r="F986" s="17"/>
      <c r="G986" s="11"/>
      <c r="H986" s="11"/>
      <c r="I986" s="8"/>
      <c r="J986" s="14"/>
      <c r="K986" s="8"/>
      <c r="L986" s="8"/>
      <c r="M986" s="15"/>
      <c r="N986" s="15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17"/>
      <c r="D987" s="17"/>
      <c r="E987" s="17"/>
      <c r="F987" s="17"/>
      <c r="G987" s="11"/>
      <c r="H987" s="11"/>
      <c r="I987" s="8"/>
      <c r="J987" s="14"/>
      <c r="K987" s="8"/>
      <c r="L987" s="8"/>
      <c r="M987" s="15"/>
      <c r="N987" s="15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17"/>
      <c r="D988" s="17"/>
      <c r="E988" s="17"/>
      <c r="F988" s="17"/>
      <c r="G988" s="11"/>
      <c r="H988" s="11"/>
      <c r="I988" s="8"/>
      <c r="J988" s="14"/>
      <c r="K988" s="8"/>
      <c r="L988" s="8"/>
      <c r="M988" s="15"/>
      <c r="N988" s="15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17"/>
      <c r="D989" s="17"/>
      <c r="E989" s="17"/>
      <c r="F989" s="17"/>
      <c r="G989" s="11"/>
      <c r="H989" s="11"/>
      <c r="I989" s="8"/>
      <c r="J989" s="14"/>
      <c r="K989" s="8"/>
      <c r="L989" s="8"/>
      <c r="M989" s="15"/>
      <c r="N989" s="15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17"/>
      <c r="D990" s="17"/>
      <c r="E990" s="17"/>
      <c r="F990" s="17"/>
      <c r="G990" s="11"/>
      <c r="H990" s="11"/>
      <c r="I990" s="8"/>
      <c r="J990" s="14"/>
      <c r="K990" s="8"/>
      <c r="L990" s="8"/>
      <c r="M990" s="15"/>
      <c r="N990" s="15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17"/>
      <c r="D991" s="17"/>
      <c r="E991" s="17"/>
      <c r="F991" s="17"/>
      <c r="G991" s="11"/>
      <c r="H991" s="11"/>
      <c r="I991" s="8"/>
      <c r="J991" s="14"/>
      <c r="K991" s="8"/>
      <c r="L991" s="8"/>
      <c r="M991" s="15"/>
      <c r="N991" s="15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17"/>
      <c r="D992" s="17"/>
      <c r="E992" s="17"/>
      <c r="F992" s="17"/>
      <c r="G992" s="11"/>
      <c r="H992" s="11"/>
      <c r="I992" s="8"/>
      <c r="J992" s="14"/>
      <c r="K992" s="8"/>
      <c r="L992" s="8"/>
      <c r="M992" s="15"/>
      <c r="N992" s="15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17"/>
      <c r="D993" s="17"/>
      <c r="E993" s="17"/>
      <c r="F993" s="17"/>
      <c r="G993" s="11"/>
      <c r="H993" s="11"/>
      <c r="I993" s="8"/>
      <c r="J993" s="14"/>
      <c r="K993" s="8"/>
      <c r="L993" s="8"/>
      <c r="M993" s="15"/>
      <c r="N993" s="15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17"/>
      <c r="D994" s="17"/>
      <c r="E994" s="17"/>
      <c r="F994" s="17"/>
      <c r="G994" s="11"/>
      <c r="H994" s="11"/>
      <c r="I994" s="8"/>
      <c r="J994" s="14"/>
      <c r="K994" s="8"/>
      <c r="L994" s="8"/>
      <c r="M994" s="15"/>
      <c r="N994" s="15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17"/>
      <c r="D995" s="17"/>
      <c r="E995" s="17"/>
      <c r="F995" s="17"/>
      <c r="G995" s="11"/>
      <c r="H995" s="11"/>
      <c r="I995" s="8"/>
      <c r="J995" s="14"/>
      <c r="K995" s="8"/>
      <c r="L995" s="8"/>
      <c r="M995" s="15"/>
      <c r="N995" s="15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17"/>
      <c r="D996" s="17"/>
      <c r="E996" s="17"/>
      <c r="F996" s="17"/>
      <c r="G996" s="11"/>
      <c r="H996" s="11"/>
      <c r="I996" s="8"/>
      <c r="J996" s="14"/>
      <c r="K996" s="8"/>
      <c r="L996" s="8"/>
      <c r="M996" s="15"/>
      <c r="N996" s="15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17"/>
      <c r="D997" s="17"/>
      <c r="E997" s="17"/>
      <c r="F997" s="17"/>
      <c r="G997" s="11"/>
      <c r="H997" s="11"/>
      <c r="I997" s="8"/>
      <c r="J997" s="14"/>
      <c r="K997" s="8"/>
      <c r="L997" s="8"/>
      <c r="M997" s="15"/>
      <c r="N997" s="15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17"/>
      <c r="D998" s="17"/>
      <c r="E998" s="17"/>
      <c r="F998" s="17"/>
      <c r="G998" s="11"/>
      <c r="H998" s="11"/>
      <c r="I998" s="8"/>
      <c r="J998" s="14"/>
      <c r="K998" s="8"/>
      <c r="L998" s="8"/>
      <c r="M998" s="15"/>
      <c r="N998" s="15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17"/>
      <c r="D999" s="17"/>
      <c r="E999" s="17"/>
      <c r="F999" s="17"/>
      <c r="G999" s="11"/>
      <c r="H999" s="11"/>
      <c r="I999" s="8"/>
      <c r="J999" s="14"/>
      <c r="K999" s="8"/>
      <c r="L999" s="8"/>
      <c r="M999" s="15"/>
      <c r="N999" s="15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17"/>
      <c r="D1000" s="17"/>
      <c r="E1000" s="17"/>
      <c r="F1000" s="17"/>
      <c r="G1000" s="11"/>
      <c r="H1000" s="11"/>
      <c r="I1000" s="8"/>
      <c r="J1000" s="14"/>
      <c r="K1000" s="8"/>
      <c r="L1000" s="8"/>
      <c r="M1000" s="15"/>
      <c r="N1000" s="15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H7:H100">
      <formula1>FlightType</formula1>
    </dataValidation>
    <dataValidation type="decimal" allowBlank="1" showErrorMessage="1" sqref="D7:D100">
      <formula1>2021.0</formula1>
      <formula2>2024.0</formula2>
    </dataValidation>
    <dataValidation type="list" allowBlank="1" showErrorMessage="1" sqref="L7:L100">
      <formula1>DD!$D$2:$D$3</formula1>
    </dataValidation>
    <dataValidation type="list" allowBlank="1" showErrorMessage="1" sqref="B7:B100">
      <formula1>campus</formula1>
    </dataValidation>
    <dataValidation type="list" allowBlank="1" showErrorMessage="1" sqref="K7:K100">
      <formula1>Class</formula1>
    </dataValidation>
  </dataValidations>
  <hyperlinks>
    <hyperlink r:id="rId1" ref="I1"/>
    <hyperlink r:id="rId2" ref="I6"/>
    <hyperlink r:id="rId3" ref="J6"/>
  </hyperlinks>
  <printOptions/>
  <pageMargins bottom="0.75" footer="0.0" header="0.0" left="0.7" right="0.7" top="0.75"/>
  <pageSetup orientation="portrait"/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3.0"/>
    <col customWidth="1" min="2" max="2" width="21.0"/>
    <col customWidth="1" min="3" max="3" width="30.25"/>
    <col customWidth="1" min="4" max="4" width="8.63"/>
    <col customWidth="1" min="5" max="5" width="32.13"/>
    <col customWidth="1" min="6" max="6" width="34.13"/>
    <col customWidth="1" min="7" max="7" width="14.38"/>
    <col customWidth="1" min="8" max="8" width="13.0"/>
    <col customWidth="1" min="9" max="9" width="13.13"/>
    <col customWidth="1" min="10" max="10" width="13.63"/>
    <col customWidth="1" min="11" max="11" width="12.0"/>
    <col customWidth="1" min="12" max="12" width="11.25"/>
    <col customWidth="1" min="13" max="13" width="12.38"/>
    <col customWidth="1" min="14" max="14" width="11.38"/>
    <col customWidth="1" min="15" max="15" width="9.13"/>
    <col customWidth="1" min="16" max="26" width="8.63"/>
  </cols>
  <sheetData>
    <row r="1">
      <c r="A1" s="8"/>
      <c r="B1" s="9" t="s">
        <v>15</v>
      </c>
      <c r="C1" s="8"/>
      <c r="D1" s="8"/>
      <c r="E1" s="8"/>
      <c r="F1" s="1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9" t="s">
        <v>10</v>
      </c>
      <c r="C3" s="8"/>
      <c r="D3" s="8"/>
      <c r="E3" s="8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 t="s">
        <v>43</v>
      </c>
      <c r="C4" s="8"/>
      <c r="D4" s="8"/>
      <c r="E4" s="8"/>
      <c r="F4" s="1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6.25" customHeight="1">
      <c r="A5" s="8"/>
      <c r="B5" s="8"/>
      <c r="C5" s="8"/>
      <c r="D5" s="8"/>
      <c r="E5" s="8"/>
      <c r="F5" s="11"/>
      <c r="G5" s="8"/>
      <c r="H5" s="8"/>
      <c r="I5" s="8"/>
      <c r="J5" s="8"/>
      <c r="K5" s="8"/>
      <c r="L5" s="8"/>
      <c r="M5" s="8"/>
      <c r="N5" s="50">
        <f>SUM(Accomodation!$N$7:$N$100)</f>
        <v>266.16</v>
      </c>
      <c r="O5" s="50">
        <f>SUM(Accomodation!$O$7:$O$100)</f>
        <v>0.26616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0"/>
      <c r="B6" s="21" t="s">
        <v>21</v>
      </c>
      <c r="C6" s="22" t="s">
        <v>22</v>
      </c>
      <c r="D6" s="22" t="s">
        <v>23</v>
      </c>
      <c r="E6" s="22" t="s">
        <v>24</v>
      </c>
      <c r="F6" s="22" t="s">
        <v>25</v>
      </c>
      <c r="G6" s="22" t="s">
        <v>44</v>
      </c>
      <c r="H6" s="22" t="s">
        <v>45</v>
      </c>
      <c r="I6" s="51" t="s">
        <v>46</v>
      </c>
      <c r="J6" s="52" t="s">
        <v>47</v>
      </c>
      <c r="K6" s="51" t="s">
        <v>48</v>
      </c>
      <c r="L6" s="52" t="s">
        <v>49</v>
      </c>
      <c r="M6" s="52" t="s">
        <v>50</v>
      </c>
      <c r="N6" s="51" t="s">
        <v>51</v>
      </c>
      <c r="O6" s="52" t="s">
        <v>52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6"/>
      <c r="B7" s="53" t="s">
        <v>34</v>
      </c>
      <c r="C7" s="53" t="s">
        <v>53</v>
      </c>
      <c r="D7" s="53">
        <v>2022.0</v>
      </c>
      <c r="E7" s="53" t="s">
        <v>54</v>
      </c>
      <c r="F7" s="54" t="s">
        <v>37</v>
      </c>
      <c r="G7" s="55">
        <v>45140.0</v>
      </c>
      <c r="H7" s="55">
        <v>45143.0</v>
      </c>
      <c r="I7" s="56" t="s">
        <v>55</v>
      </c>
      <c r="J7" s="57" t="s">
        <v>56</v>
      </c>
      <c r="K7" s="30">
        <v>1.0</v>
      </c>
      <c r="L7" s="30">
        <v>4.0</v>
      </c>
      <c r="M7" s="58">
        <f>IF(I7="","",VLOOKUP(I7,factors!$A$3:$B$54,2))</f>
        <v>66.54</v>
      </c>
      <c r="N7" s="59">
        <f>IF(K7="","",IF(OR(K7="",L7=""),"",PRODUCT(Accomodation!$K7:$M7)))</f>
        <v>266.16</v>
      </c>
      <c r="O7" s="60">
        <f t="shared" ref="O7:O100" si="1">IF(N7="","",N7/1000)</f>
        <v>0.26616</v>
      </c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26"/>
      <c r="B8" s="53"/>
      <c r="C8" s="53"/>
      <c r="D8" s="53"/>
      <c r="E8" s="53"/>
      <c r="F8" s="54"/>
      <c r="G8" s="55"/>
      <c r="H8" s="53"/>
      <c r="I8" s="56"/>
      <c r="J8" s="53"/>
      <c r="K8" s="30"/>
      <c r="L8" s="30"/>
      <c r="M8" s="58" t="str">
        <f>IF(I8="","",VLOOKUP(I8,factors!$A$3:$B$54,2))</f>
        <v/>
      </c>
      <c r="N8" s="59" t="str">
        <f>IF(K8="","",IF(OR(K8="",L8=""),"",PRODUCT(Accomodation!$K8:$M8)))</f>
        <v/>
      </c>
      <c r="O8" s="59" t="str">
        <f t="shared" si="1"/>
        <v/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53"/>
      <c r="C9" s="53"/>
      <c r="D9" s="53"/>
      <c r="E9" s="53"/>
      <c r="F9" s="54"/>
      <c r="G9" s="53"/>
      <c r="H9" s="53"/>
      <c r="I9" s="56"/>
      <c r="J9" s="53"/>
      <c r="K9" s="30"/>
      <c r="L9" s="30"/>
      <c r="M9" s="58" t="str">
        <f>IF(I9="","",VLOOKUP(I9,factors!$A$3:$B$54,2))</f>
        <v/>
      </c>
      <c r="N9" s="59" t="str">
        <f>IF(K9="","",IF(OR(K9="",L9=""),"",PRODUCT(Accomodation!$K9:$M9)))</f>
        <v/>
      </c>
      <c r="O9" s="59" t="str">
        <f t="shared" si="1"/>
        <v/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6"/>
      <c r="B10" s="53"/>
      <c r="C10" s="53"/>
      <c r="D10" s="53"/>
      <c r="E10" s="53"/>
      <c r="F10" s="54"/>
      <c r="G10" s="53"/>
      <c r="H10" s="53"/>
      <c r="I10" s="56"/>
      <c r="J10" s="53"/>
      <c r="K10" s="30"/>
      <c r="L10" s="30"/>
      <c r="M10" s="58" t="str">
        <f>IF(I10="","",VLOOKUP(I10,factors!$A$3:$B$54,2))</f>
        <v/>
      </c>
      <c r="N10" s="59" t="str">
        <f>IF(K10="","",IF(OR(K10="",L10=""),"",PRODUCT(Accomodation!$K10:$M10)))</f>
        <v/>
      </c>
      <c r="O10" s="59" t="str">
        <f t="shared" si="1"/>
        <v/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53"/>
      <c r="C11" s="53"/>
      <c r="D11" s="53"/>
      <c r="E11" s="53"/>
      <c r="F11" s="54"/>
      <c r="G11" s="53"/>
      <c r="H11" s="53"/>
      <c r="I11" s="56"/>
      <c r="J11" s="53"/>
      <c r="K11" s="30"/>
      <c r="L11" s="30"/>
      <c r="M11" s="58" t="str">
        <f>IF(I11="","",VLOOKUP(I11,factors!$A$3:$B$54,2))</f>
        <v/>
      </c>
      <c r="N11" s="59" t="str">
        <f>IF(K11="","",IF(OR(K11="",L11=""),"",PRODUCT(Accomodation!$K11:$M11)))</f>
        <v/>
      </c>
      <c r="O11" s="59" t="str">
        <f t="shared" si="1"/>
        <v/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53"/>
      <c r="C12" s="53"/>
      <c r="D12" s="53"/>
      <c r="E12" s="53"/>
      <c r="F12" s="54"/>
      <c r="G12" s="53"/>
      <c r="H12" s="53"/>
      <c r="I12" s="56"/>
      <c r="J12" s="53"/>
      <c r="K12" s="30"/>
      <c r="L12" s="30"/>
      <c r="M12" s="58" t="str">
        <f>IF(I12="","",VLOOKUP(I12,factors!$A$3:$B$54,2))</f>
        <v/>
      </c>
      <c r="N12" s="59" t="str">
        <f>IF(K12="","",IF(OR(K12="",L12=""),"",PRODUCT(Accomodation!$K12:$M12)))</f>
        <v/>
      </c>
      <c r="O12" s="59" t="str">
        <f t="shared" si="1"/>
        <v/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53"/>
      <c r="C13" s="53"/>
      <c r="D13" s="53"/>
      <c r="E13" s="53"/>
      <c r="F13" s="54"/>
      <c r="G13" s="53"/>
      <c r="H13" s="53"/>
      <c r="I13" s="56"/>
      <c r="J13" s="53"/>
      <c r="K13" s="30"/>
      <c r="L13" s="30"/>
      <c r="M13" s="58" t="str">
        <f>IF(I13="","",VLOOKUP(I13,factors!$A$3:$B$54,2))</f>
        <v/>
      </c>
      <c r="N13" s="59" t="str">
        <f>IF(K13="","",IF(OR(K13="",L13=""),"",PRODUCT(Accomodation!$K13:$M13)))</f>
        <v/>
      </c>
      <c r="O13" s="59" t="str">
        <f t="shared" si="1"/>
        <v/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53"/>
      <c r="C14" s="53"/>
      <c r="D14" s="53"/>
      <c r="E14" s="53"/>
      <c r="F14" s="54"/>
      <c r="G14" s="53"/>
      <c r="H14" s="53"/>
      <c r="I14" s="56"/>
      <c r="J14" s="53"/>
      <c r="K14" s="30"/>
      <c r="L14" s="30"/>
      <c r="M14" s="58" t="str">
        <f>IF(I14="","",VLOOKUP(I14,factors!$A$3:$B$54,2))</f>
        <v/>
      </c>
      <c r="N14" s="59" t="str">
        <f>IF(K14="","",IF(OR(K14="",L14=""),"",PRODUCT(Accomodation!$K14:$M14)))</f>
        <v/>
      </c>
      <c r="O14" s="59" t="str">
        <f t="shared" si="1"/>
        <v/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53"/>
      <c r="C15" s="53"/>
      <c r="D15" s="53"/>
      <c r="E15" s="53"/>
      <c r="F15" s="54"/>
      <c r="G15" s="53"/>
      <c r="H15" s="53"/>
      <c r="I15" s="56"/>
      <c r="J15" s="53"/>
      <c r="K15" s="30"/>
      <c r="L15" s="30"/>
      <c r="M15" s="58" t="str">
        <f>IF(I15="","",VLOOKUP(I15,factors!$A$3:$B$54,2))</f>
        <v/>
      </c>
      <c r="N15" s="59" t="str">
        <f>IF(K15="","",IF(OR(K15="",L15=""),"",PRODUCT(Accomodation!$K15:$M15)))</f>
        <v/>
      </c>
      <c r="O15" s="59" t="str">
        <f t="shared" si="1"/>
        <v/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53"/>
      <c r="C16" s="53"/>
      <c r="D16" s="53"/>
      <c r="E16" s="53"/>
      <c r="F16" s="54"/>
      <c r="G16" s="53"/>
      <c r="H16" s="53"/>
      <c r="I16" s="56"/>
      <c r="J16" s="53"/>
      <c r="K16" s="30"/>
      <c r="L16" s="30"/>
      <c r="M16" s="58" t="str">
        <f>IF(I16="","",VLOOKUP(I16,factors!$A$3:$B$54,2))</f>
        <v/>
      </c>
      <c r="N16" s="59" t="str">
        <f>IF(K16="","",IF(OR(K16="",L16=""),"",PRODUCT(Accomodation!$K16:$M16)))</f>
        <v/>
      </c>
      <c r="O16" s="59" t="str">
        <f t="shared" si="1"/>
        <v/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53"/>
      <c r="C17" s="53"/>
      <c r="D17" s="53"/>
      <c r="E17" s="53"/>
      <c r="F17" s="54"/>
      <c r="G17" s="53"/>
      <c r="H17" s="53"/>
      <c r="I17" s="56"/>
      <c r="J17" s="53"/>
      <c r="K17" s="30"/>
      <c r="L17" s="30"/>
      <c r="M17" s="58" t="str">
        <f>IF(I17="","",VLOOKUP(I17,factors!$A$3:$B$54,2))</f>
        <v/>
      </c>
      <c r="N17" s="59" t="str">
        <f>IF(K17="","",IF(OR(K17="",L17=""),"",PRODUCT(Accomodation!$K17:$M17)))</f>
        <v/>
      </c>
      <c r="O17" s="59" t="str">
        <f t="shared" si="1"/>
        <v/>
      </c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53"/>
      <c r="C18" s="53"/>
      <c r="D18" s="53"/>
      <c r="E18" s="53"/>
      <c r="F18" s="54"/>
      <c r="G18" s="53"/>
      <c r="H18" s="53"/>
      <c r="I18" s="56"/>
      <c r="J18" s="53"/>
      <c r="K18" s="30"/>
      <c r="L18" s="30"/>
      <c r="M18" s="58" t="str">
        <f>IF(I18="","",VLOOKUP(I18,factors!$A$3:$B$54,2))</f>
        <v/>
      </c>
      <c r="N18" s="59" t="str">
        <f>IF(K18="","",IF(OR(K18="",L18=""),"",PRODUCT(Accomodation!$K18:$M18)))</f>
        <v/>
      </c>
      <c r="O18" s="59" t="str">
        <f t="shared" si="1"/>
        <v/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53"/>
      <c r="C19" s="53"/>
      <c r="D19" s="53"/>
      <c r="E19" s="53"/>
      <c r="F19" s="54"/>
      <c r="G19" s="53"/>
      <c r="H19" s="53"/>
      <c r="I19" s="56"/>
      <c r="J19" s="53"/>
      <c r="K19" s="30"/>
      <c r="L19" s="30"/>
      <c r="M19" s="58" t="str">
        <f>IF(I19="","",VLOOKUP(I19,factors!$A$3:$B$54,2))</f>
        <v/>
      </c>
      <c r="N19" s="59" t="str">
        <f>IF(K19="","",IF(OR(K19="",L19=""),"",PRODUCT(Accomodation!$K19:$M19)))</f>
        <v/>
      </c>
      <c r="O19" s="59" t="str">
        <f t="shared" si="1"/>
        <v/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53"/>
      <c r="C20" s="53"/>
      <c r="D20" s="53"/>
      <c r="E20" s="53"/>
      <c r="F20" s="54"/>
      <c r="G20" s="53"/>
      <c r="H20" s="53"/>
      <c r="I20" s="56"/>
      <c r="J20" s="53"/>
      <c r="K20" s="30"/>
      <c r="L20" s="30"/>
      <c r="M20" s="58" t="str">
        <f>IF(I20="","",VLOOKUP(I20,factors!$A$3:$B$54,2))</f>
        <v/>
      </c>
      <c r="N20" s="59" t="str">
        <f>IF(K20="","",IF(OR(K20="",L20=""),"",PRODUCT(Accomodation!$K20:$M20)))</f>
        <v/>
      </c>
      <c r="O20" s="59" t="str">
        <f t="shared" si="1"/>
        <v/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53"/>
      <c r="C21" s="53"/>
      <c r="D21" s="53"/>
      <c r="E21" s="53"/>
      <c r="F21" s="54"/>
      <c r="G21" s="53"/>
      <c r="H21" s="53"/>
      <c r="I21" s="56"/>
      <c r="J21" s="53"/>
      <c r="K21" s="30"/>
      <c r="L21" s="30"/>
      <c r="M21" s="58" t="str">
        <f>IF(I21="","",VLOOKUP(I21,factors!$A$3:$B$54,2))</f>
        <v/>
      </c>
      <c r="N21" s="59" t="str">
        <f>IF(K21="","",IF(OR(K21="",L21=""),"",PRODUCT(Accomodation!$K21:$M21)))</f>
        <v/>
      </c>
      <c r="O21" s="59" t="str">
        <f t="shared" si="1"/>
        <v/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53"/>
      <c r="C22" s="53"/>
      <c r="D22" s="53"/>
      <c r="E22" s="53"/>
      <c r="F22" s="54"/>
      <c r="G22" s="53"/>
      <c r="H22" s="53"/>
      <c r="I22" s="56"/>
      <c r="J22" s="53"/>
      <c r="K22" s="30"/>
      <c r="L22" s="30"/>
      <c r="M22" s="58" t="str">
        <f>IF(I22="","",VLOOKUP(I22,factors!$A$3:$B$54,2))</f>
        <v/>
      </c>
      <c r="N22" s="59" t="str">
        <f>IF(K22="","",IF(OR(K22="",L22=""),"",PRODUCT(Accomodation!$K22:$M22)))</f>
        <v/>
      </c>
      <c r="O22" s="59" t="str">
        <f t="shared" si="1"/>
        <v/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53"/>
      <c r="C23" s="53"/>
      <c r="D23" s="53"/>
      <c r="E23" s="53"/>
      <c r="F23" s="54"/>
      <c r="G23" s="53"/>
      <c r="H23" s="53"/>
      <c r="I23" s="56"/>
      <c r="J23" s="53"/>
      <c r="K23" s="30"/>
      <c r="L23" s="30"/>
      <c r="M23" s="58" t="str">
        <f>IF(I23="","",VLOOKUP(I23,factors!$A$3:$B$54,2))</f>
        <v/>
      </c>
      <c r="N23" s="59" t="str">
        <f>IF(K23="","",IF(OR(K23="",L23=""),"",PRODUCT(Accomodation!$K23:$M23)))</f>
        <v/>
      </c>
      <c r="O23" s="59" t="str">
        <f t="shared" si="1"/>
        <v/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53"/>
      <c r="C24" s="53"/>
      <c r="D24" s="53"/>
      <c r="E24" s="53"/>
      <c r="F24" s="54"/>
      <c r="G24" s="53"/>
      <c r="H24" s="53"/>
      <c r="I24" s="56"/>
      <c r="J24" s="53"/>
      <c r="K24" s="30"/>
      <c r="L24" s="30"/>
      <c r="M24" s="58" t="str">
        <f>IF(I24="","",VLOOKUP(I24,factors!$A$3:$B$54,2))</f>
        <v/>
      </c>
      <c r="N24" s="59" t="str">
        <f>IF(K24="","",IF(OR(K24="",L24=""),"",PRODUCT(Accomodation!$K24:$M24)))</f>
        <v/>
      </c>
      <c r="O24" s="59" t="str">
        <f t="shared" si="1"/>
        <v/>
      </c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53"/>
      <c r="C25" s="53"/>
      <c r="D25" s="53"/>
      <c r="E25" s="53"/>
      <c r="F25" s="54"/>
      <c r="G25" s="53"/>
      <c r="H25" s="53"/>
      <c r="I25" s="56"/>
      <c r="J25" s="53"/>
      <c r="K25" s="30"/>
      <c r="L25" s="30"/>
      <c r="M25" s="58" t="str">
        <f>IF(I25="","",VLOOKUP(I25,factors!$A$3:$B$54,2))</f>
        <v/>
      </c>
      <c r="N25" s="59" t="str">
        <f>IF(K25="","",IF(OR(K25="",L25=""),"",PRODUCT(Accomodation!$K25:$M25)))</f>
        <v/>
      </c>
      <c r="O25" s="59" t="str">
        <f t="shared" si="1"/>
        <v/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53"/>
      <c r="C26" s="53"/>
      <c r="D26" s="53"/>
      <c r="E26" s="53"/>
      <c r="F26" s="54"/>
      <c r="G26" s="53"/>
      <c r="H26" s="53"/>
      <c r="I26" s="56"/>
      <c r="J26" s="53"/>
      <c r="K26" s="30"/>
      <c r="L26" s="30"/>
      <c r="M26" s="58" t="str">
        <f>IF(I26="","",VLOOKUP(I26,factors!$A$3:$B$54,2))</f>
        <v/>
      </c>
      <c r="N26" s="59" t="str">
        <f>IF(K26="","",IF(OR(K26="",L26=""),"",PRODUCT(Accomodation!$K26:$M26)))</f>
        <v/>
      </c>
      <c r="O26" s="59" t="str">
        <f t="shared" si="1"/>
        <v/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53"/>
      <c r="C27" s="53"/>
      <c r="D27" s="53"/>
      <c r="E27" s="53"/>
      <c r="F27" s="54"/>
      <c r="G27" s="53"/>
      <c r="H27" s="53"/>
      <c r="I27" s="56"/>
      <c r="J27" s="53"/>
      <c r="K27" s="30"/>
      <c r="L27" s="30"/>
      <c r="M27" s="58" t="str">
        <f>IF(I27="","",VLOOKUP(I27,factors!$A$3:$B$54,2))</f>
        <v/>
      </c>
      <c r="N27" s="59" t="str">
        <f>IF(K27="","",IF(OR(K27="",L27=""),"",PRODUCT(Accomodation!$K27:$M27)))</f>
        <v/>
      </c>
      <c r="O27" s="59" t="str">
        <f t="shared" si="1"/>
        <v/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53"/>
      <c r="C28" s="53"/>
      <c r="D28" s="53"/>
      <c r="E28" s="53"/>
      <c r="F28" s="54"/>
      <c r="G28" s="53"/>
      <c r="H28" s="53"/>
      <c r="I28" s="56"/>
      <c r="J28" s="53"/>
      <c r="K28" s="30"/>
      <c r="L28" s="30"/>
      <c r="M28" s="58" t="str">
        <f>IF(I28="","",VLOOKUP(I28,factors!$A$3:$B$54,2))</f>
        <v/>
      </c>
      <c r="N28" s="59" t="str">
        <f>IF(K28="","",IF(OR(K28="",L28=""),"",PRODUCT(Accomodation!$K28:$M28)))</f>
        <v/>
      </c>
      <c r="O28" s="59" t="str">
        <f t="shared" si="1"/>
        <v/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53"/>
      <c r="C29" s="53"/>
      <c r="D29" s="53"/>
      <c r="E29" s="53"/>
      <c r="F29" s="54"/>
      <c r="G29" s="53"/>
      <c r="H29" s="53"/>
      <c r="I29" s="56"/>
      <c r="J29" s="53"/>
      <c r="K29" s="30"/>
      <c r="L29" s="30"/>
      <c r="M29" s="58" t="str">
        <f>IF(I29="","",VLOOKUP(I29,factors!$A$3:$B$54,2))</f>
        <v/>
      </c>
      <c r="N29" s="59" t="str">
        <f>IF(K29="","",IF(OR(K29="",L29=""),"",PRODUCT(Accomodation!$K29:$M29)))</f>
        <v/>
      </c>
      <c r="O29" s="59" t="str">
        <f t="shared" si="1"/>
        <v/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53"/>
      <c r="C30" s="53"/>
      <c r="D30" s="53"/>
      <c r="E30" s="53"/>
      <c r="F30" s="54"/>
      <c r="G30" s="53"/>
      <c r="H30" s="53"/>
      <c r="I30" s="56"/>
      <c r="J30" s="53"/>
      <c r="K30" s="30"/>
      <c r="L30" s="30"/>
      <c r="M30" s="58" t="str">
        <f>IF(I30="","",VLOOKUP(I30,factors!$A$3:$B$54,2))</f>
        <v/>
      </c>
      <c r="N30" s="59" t="str">
        <f>IF(K30="","",IF(OR(K30="",L30=""),"",PRODUCT(Accomodation!$K30:$M30)))</f>
        <v/>
      </c>
      <c r="O30" s="59" t="str">
        <f t="shared" si="1"/>
        <v/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53"/>
      <c r="C31" s="53"/>
      <c r="D31" s="53"/>
      <c r="E31" s="53"/>
      <c r="F31" s="54"/>
      <c r="G31" s="53"/>
      <c r="H31" s="53"/>
      <c r="I31" s="56"/>
      <c r="J31" s="53"/>
      <c r="K31" s="30"/>
      <c r="L31" s="30"/>
      <c r="M31" s="58" t="str">
        <f>IF(I31="","",VLOOKUP(I31,factors!$A$3:$B$54,2))</f>
        <v/>
      </c>
      <c r="N31" s="59" t="str">
        <f>IF(K31="","",IF(OR(K31="",L31=""),"",PRODUCT(Accomodation!$K31:$M31)))</f>
        <v/>
      </c>
      <c r="O31" s="59" t="str">
        <f t="shared" si="1"/>
        <v/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53"/>
      <c r="C32" s="53"/>
      <c r="D32" s="53"/>
      <c r="E32" s="53"/>
      <c r="F32" s="54"/>
      <c r="G32" s="53"/>
      <c r="H32" s="53"/>
      <c r="I32" s="56"/>
      <c r="J32" s="53"/>
      <c r="K32" s="30"/>
      <c r="L32" s="30"/>
      <c r="M32" s="58" t="str">
        <f>IF(I32="","",VLOOKUP(I32,factors!$A$3:$B$54,2))</f>
        <v/>
      </c>
      <c r="N32" s="59" t="str">
        <f>IF(K32="","",IF(OR(K32="",L32=""),"",PRODUCT(Accomodation!$K32:$M32)))</f>
        <v/>
      </c>
      <c r="O32" s="59" t="str">
        <f t="shared" si="1"/>
        <v/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53"/>
      <c r="C33" s="53"/>
      <c r="D33" s="53"/>
      <c r="E33" s="53"/>
      <c r="F33" s="54"/>
      <c r="G33" s="53"/>
      <c r="H33" s="53"/>
      <c r="I33" s="56"/>
      <c r="J33" s="53"/>
      <c r="K33" s="30"/>
      <c r="L33" s="30"/>
      <c r="M33" s="58" t="str">
        <f>IF(I33="","",VLOOKUP(I33,factors!$A$3:$B$54,2))</f>
        <v/>
      </c>
      <c r="N33" s="59" t="str">
        <f>IF(K33="","",IF(OR(K33="",L33=""),"",PRODUCT(Accomodation!$K33:$M33)))</f>
        <v/>
      </c>
      <c r="O33" s="59" t="str">
        <f t="shared" si="1"/>
        <v/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53"/>
      <c r="C34" s="53"/>
      <c r="D34" s="53"/>
      <c r="E34" s="53"/>
      <c r="F34" s="54"/>
      <c r="G34" s="53"/>
      <c r="H34" s="53"/>
      <c r="I34" s="56"/>
      <c r="J34" s="53"/>
      <c r="K34" s="30"/>
      <c r="L34" s="30"/>
      <c r="M34" s="58" t="str">
        <f>IF(I34="","",VLOOKUP(I34,factors!$A$3:$B$54,2))</f>
        <v/>
      </c>
      <c r="N34" s="59" t="str">
        <f>IF(K34="","",IF(OR(K34="",L34=""),"",PRODUCT(Accomodation!$K34:$M34)))</f>
        <v/>
      </c>
      <c r="O34" s="59" t="str">
        <f t="shared" si="1"/>
        <v/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53"/>
      <c r="C35" s="53"/>
      <c r="D35" s="53"/>
      <c r="E35" s="53"/>
      <c r="F35" s="54"/>
      <c r="G35" s="53"/>
      <c r="H35" s="61"/>
      <c r="I35" s="62"/>
      <c r="J35" s="53"/>
      <c r="K35" s="40"/>
      <c r="L35" s="40"/>
      <c r="M35" s="63" t="str">
        <f>IF(I35="","",VLOOKUP(I35,factors!$A$3:$B$54,2))</f>
        <v/>
      </c>
      <c r="N35" s="59" t="str">
        <f>IF(K35="","",IF(OR(K35="",L35=""),"",PRODUCT(Accomodation!$K35:$M35)))</f>
        <v/>
      </c>
      <c r="O35" s="59" t="str">
        <f t="shared" si="1"/>
        <v/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53"/>
      <c r="C36" s="53"/>
      <c r="D36" s="53"/>
      <c r="E36" s="53"/>
      <c r="F36" s="54"/>
      <c r="G36" s="53"/>
      <c r="H36" s="53"/>
      <c r="I36" s="56"/>
      <c r="J36" s="53"/>
      <c r="K36" s="30"/>
      <c r="L36" s="30"/>
      <c r="M36" s="58" t="str">
        <f>IF(I36="","",VLOOKUP(I36,factors!$A$3:$B$54,2))</f>
        <v/>
      </c>
      <c r="N36" s="59" t="str">
        <f>IF(K36="","",IF(OR(K36="",L36=""),"",PRODUCT(Accomodation!$K36:$M36)))</f>
        <v/>
      </c>
      <c r="O36" s="59" t="str">
        <f t="shared" si="1"/>
        <v/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53"/>
      <c r="C37" s="53"/>
      <c r="D37" s="53"/>
      <c r="E37" s="53"/>
      <c r="F37" s="54"/>
      <c r="G37" s="53"/>
      <c r="H37" s="53"/>
      <c r="I37" s="56"/>
      <c r="J37" s="53"/>
      <c r="K37" s="30"/>
      <c r="L37" s="30"/>
      <c r="M37" s="58" t="str">
        <f>IF(I37="","",VLOOKUP(I37,factors!$A$3:$B$54,2))</f>
        <v/>
      </c>
      <c r="N37" s="59" t="str">
        <f>IF(K37="","",IF(OR(K37="",L37=""),"",PRODUCT(Accomodation!$K37:$M37)))</f>
        <v/>
      </c>
      <c r="O37" s="59" t="str">
        <f t="shared" si="1"/>
        <v/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53"/>
      <c r="C38" s="53"/>
      <c r="D38" s="53"/>
      <c r="E38" s="53"/>
      <c r="F38" s="54"/>
      <c r="G38" s="53"/>
      <c r="H38" s="53"/>
      <c r="I38" s="56"/>
      <c r="J38" s="53"/>
      <c r="K38" s="30"/>
      <c r="L38" s="30"/>
      <c r="M38" s="58" t="str">
        <f>IF(I38="","",VLOOKUP(I38,factors!$A$3:$B$54,2))</f>
        <v/>
      </c>
      <c r="N38" s="59" t="str">
        <f>IF(K38="","",IF(OR(K38="",L38=""),"",PRODUCT(Accomodation!$K38:$M38)))</f>
        <v/>
      </c>
      <c r="O38" s="59" t="str">
        <f t="shared" si="1"/>
        <v/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53"/>
      <c r="C39" s="53"/>
      <c r="D39" s="53"/>
      <c r="E39" s="53"/>
      <c r="F39" s="54"/>
      <c r="G39" s="53"/>
      <c r="H39" s="53"/>
      <c r="I39" s="56"/>
      <c r="J39" s="53"/>
      <c r="K39" s="30"/>
      <c r="L39" s="30"/>
      <c r="M39" s="58" t="str">
        <f>IF(I39="","",VLOOKUP(I39,factors!$A$3:$B$54,2))</f>
        <v/>
      </c>
      <c r="N39" s="59" t="str">
        <f>IF(K39="","",IF(OR(K39="",L39=""),"",PRODUCT(Accomodation!$K39:$M39)))</f>
        <v/>
      </c>
      <c r="O39" s="59" t="str">
        <f t="shared" si="1"/>
        <v/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53"/>
      <c r="C40" s="53"/>
      <c r="D40" s="53"/>
      <c r="E40" s="53"/>
      <c r="F40" s="54"/>
      <c r="G40" s="53"/>
      <c r="H40" s="53"/>
      <c r="I40" s="56"/>
      <c r="J40" s="53"/>
      <c r="K40" s="30"/>
      <c r="L40" s="30"/>
      <c r="M40" s="58" t="str">
        <f>IF(I40="","",VLOOKUP(I40,factors!$A$3:$B$54,2))</f>
        <v/>
      </c>
      <c r="N40" s="59" t="str">
        <f>IF(K40="","",IF(OR(K40="",L40=""),"",PRODUCT(Accomodation!$K40:$M40)))</f>
        <v/>
      </c>
      <c r="O40" s="59" t="str">
        <f t="shared" si="1"/>
        <v/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53"/>
      <c r="C41" s="53"/>
      <c r="D41" s="53"/>
      <c r="E41" s="53"/>
      <c r="F41" s="54"/>
      <c r="G41" s="53"/>
      <c r="H41" s="53"/>
      <c r="I41" s="56"/>
      <c r="J41" s="53"/>
      <c r="K41" s="30"/>
      <c r="L41" s="30"/>
      <c r="M41" s="58" t="str">
        <f>IF(I41="","",VLOOKUP(I41,factors!$A$3:$B$54,2))</f>
        <v/>
      </c>
      <c r="N41" s="59" t="str">
        <f>IF(K41="","",IF(OR(K41="",L41=""),"",PRODUCT(Accomodation!$K41:$M41)))</f>
        <v/>
      </c>
      <c r="O41" s="59" t="str">
        <f t="shared" si="1"/>
        <v/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53"/>
      <c r="C42" s="53"/>
      <c r="D42" s="53"/>
      <c r="E42" s="53"/>
      <c r="F42" s="54"/>
      <c r="G42" s="53"/>
      <c r="H42" s="53"/>
      <c r="I42" s="56"/>
      <c r="J42" s="53"/>
      <c r="K42" s="30"/>
      <c r="L42" s="30"/>
      <c r="M42" s="58" t="str">
        <f>IF(I42="","",VLOOKUP(I42,factors!$A$3:$B$54,2))</f>
        <v/>
      </c>
      <c r="N42" s="59" t="str">
        <f>IF(K42="","",IF(OR(K42="",L42=""),"",PRODUCT(Accomodation!$K42:$M42)))</f>
        <v/>
      </c>
      <c r="O42" s="59" t="str">
        <f t="shared" si="1"/>
        <v/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53"/>
      <c r="C43" s="53"/>
      <c r="D43" s="53"/>
      <c r="E43" s="53"/>
      <c r="F43" s="54"/>
      <c r="G43" s="53"/>
      <c r="H43" s="53"/>
      <c r="I43" s="56"/>
      <c r="J43" s="53"/>
      <c r="K43" s="30"/>
      <c r="L43" s="30"/>
      <c r="M43" s="58" t="str">
        <f>IF(I43="","",VLOOKUP(I43,factors!$A$3:$B$54,2))</f>
        <v/>
      </c>
      <c r="N43" s="59" t="str">
        <f>IF(K43="","",IF(OR(K43="",L43=""),"",PRODUCT(Accomodation!$K43:$M43)))</f>
        <v/>
      </c>
      <c r="O43" s="59" t="str">
        <f t="shared" si="1"/>
        <v/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53"/>
      <c r="C44" s="53"/>
      <c r="D44" s="53"/>
      <c r="E44" s="53"/>
      <c r="F44" s="54"/>
      <c r="G44" s="53"/>
      <c r="H44" s="53"/>
      <c r="I44" s="56"/>
      <c r="J44" s="53"/>
      <c r="K44" s="30"/>
      <c r="L44" s="30"/>
      <c r="M44" s="58" t="str">
        <f>IF(I44="","",VLOOKUP(I44,factors!$A$3:$B$54,2))</f>
        <v/>
      </c>
      <c r="N44" s="59" t="str">
        <f>IF(K44="","",IF(OR(K44="",L44=""),"",PRODUCT(Accomodation!$K44:$M44)))</f>
        <v/>
      </c>
      <c r="O44" s="59" t="str">
        <f t="shared" si="1"/>
        <v/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53"/>
      <c r="C45" s="53"/>
      <c r="D45" s="53"/>
      <c r="E45" s="53"/>
      <c r="F45" s="54"/>
      <c r="G45" s="53"/>
      <c r="H45" s="53"/>
      <c r="I45" s="56"/>
      <c r="J45" s="53"/>
      <c r="K45" s="30"/>
      <c r="L45" s="30"/>
      <c r="M45" s="58" t="str">
        <f>IF(I45="","",VLOOKUP(I45,factors!$A$3:$B$54,2))</f>
        <v/>
      </c>
      <c r="N45" s="59" t="str">
        <f>IF(K45="","",IF(OR(K45="",L45=""),"",PRODUCT(Accomodation!$K45:$M45)))</f>
        <v/>
      </c>
      <c r="O45" s="59" t="str">
        <f t="shared" si="1"/>
        <v/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53"/>
      <c r="C46" s="53"/>
      <c r="D46" s="53"/>
      <c r="E46" s="53"/>
      <c r="F46" s="54"/>
      <c r="G46" s="53"/>
      <c r="H46" s="53"/>
      <c r="I46" s="56"/>
      <c r="J46" s="53"/>
      <c r="K46" s="30"/>
      <c r="L46" s="30"/>
      <c r="M46" s="58" t="str">
        <f>IF(I46="","",VLOOKUP(I46,factors!$A$3:$B$54,2))</f>
        <v/>
      </c>
      <c r="N46" s="59" t="str">
        <f>IF(K46="","",IF(OR(K46="",L46=""),"",PRODUCT(Accomodation!$K46:$M46)))</f>
        <v/>
      </c>
      <c r="O46" s="59" t="str">
        <f t="shared" si="1"/>
        <v/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53"/>
      <c r="C47" s="53"/>
      <c r="D47" s="53"/>
      <c r="E47" s="53"/>
      <c r="F47" s="54"/>
      <c r="G47" s="53"/>
      <c r="H47" s="53"/>
      <c r="I47" s="56"/>
      <c r="J47" s="53"/>
      <c r="K47" s="30"/>
      <c r="L47" s="30"/>
      <c r="M47" s="58" t="str">
        <f>IF(I47="","",VLOOKUP(I47,factors!$A$3:$B$54,2))</f>
        <v/>
      </c>
      <c r="N47" s="59" t="str">
        <f>IF(K47="","",IF(OR(K47="",L47=""),"",PRODUCT(Accomodation!$K47:$M47)))</f>
        <v/>
      </c>
      <c r="O47" s="59" t="str">
        <f t="shared" si="1"/>
        <v/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53"/>
      <c r="C48" s="53"/>
      <c r="D48" s="53"/>
      <c r="E48" s="53"/>
      <c r="F48" s="54"/>
      <c r="G48" s="53"/>
      <c r="H48" s="53"/>
      <c r="I48" s="56"/>
      <c r="J48" s="53"/>
      <c r="K48" s="30"/>
      <c r="L48" s="30"/>
      <c r="M48" s="58" t="str">
        <f>IF(I48="","",VLOOKUP(I48,factors!$A$3:$B$54,2))</f>
        <v/>
      </c>
      <c r="N48" s="59" t="str">
        <f>IF(K48="","",IF(OR(K48="",L48=""),"",PRODUCT(Accomodation!$K48:$M48)))</f>
        <v/>
      </c>
      <c r="O48" s="59" t="str">
        <f t="shared" si="1"/>
        <v/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53"/>
      <c r="C49" s="53"/>
      <c r="D49" s="53"/>
      <c r="E49" s="53"/>
      <c r="F49" s="54"/>
      <c r="G49" s="53"/>
      <c r="H49" s="53"/>
      <c r="I49" s="56"/>
      <c r="J49" s="53"/>
      <c r="K49" s="30"/>
      <c r="L49" s="30"/>
      <c r="M49" s="58" t="str">
        <f>IF(I49="","",VLOOKUP(I49,factors!$A$3:$B$54,2))</f>
        <v/>
      </c>
      <c r="N49" s="59" t="str">
        <f>IF(K49="","",IF(OR(K49="",L49=""),"",PRODUCT(Accomodation!$K49:$M49)))</f>
        <v/>
      </c>
      <c r="O49" s="59" t="str">
        <f t="shared" si="1"/>
        <v/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53"/>
      <c r="C50" s="53"/>
      <c r="D50" s="53"/>
      <c r="E50" s="53"/>
      <c r="F50" s="54"/>
      <c r="G50" s="53"/>
      <c r="H50" s="53"/>
      <c r="I50" s="56"/>
      <c r="J50" s="53"/>
      <c r="K50" s="30"/>
      <c r="L50" s="30"/>
      <c r="M50" s="58" t="str">
        <f>IF(I50="","",VLOOKUP(I50,factors!$A$3:$B$54,2))</f>
        <v/>
      </c>
      <c r="N50" s="59" t="str">
        <f>IF(K50="","",IF(OR(K50="",L50=""),"",PRODUCT(Accomodation!$K50:$M50)))</f>
        <v/>
      </c>
      <c r="O50" s="59" t="str">
        <f t="shared" si="1"/>
        <v/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53"/>
      <c r="C51" s="53"/>
      <c r="D51" s="53"/>
      <c r="E51" s="53"/>
      <c r="F51" s="54"/>
      <c r="G51" s="53"/>
      <c r="H51" s="53"/>
      <c r="I51" s="56"/>
      <c r="J51" s="53"/>
      <c r="K51" s="30"/>
      <c r="L51" s="30"/>
      <c r="M51" s="58" t="str">
        <f>IF(I51="","",VLOOKUP(I51,factors!$A$3:$B$54,2))</f>
        <v/>
      </c>
      <c r="N51" s="59" t="str">
        <f>IF(K51="","",IF(OR(K51="",L51=""),"",PRODUCT(Accomodation!$K51:$M51)))</f>
        <v/>
      </c>
      <c r="O51" s="59" t="str">
        <f t="shared" si="1"/>
        <v/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53"/>
      <c r="C52" s="53"/>
      <c r="D52" s="53"/>
      <c r="E52" s="53"/>
      <c r="F52" s="54"/>
      <c r="G52" s="53"/>
      <c r="H52" s="53"/>
      <c r="I52" s="56"/>
      <c r="J52" s="53"/>
      <c r="K52" s="30"/>
      <c r="L52" s="30"/>
      <c r="M52" s="58" t="str">
        <f>IF(I52="","",VLOOKUP(I52,factors!$A$3:$B$54,2))</f>
        <v/>
      </c>
      <c r="N52" s="59" t="str">
        <f>IF(K52="","",IF(OR(K52="",L52=""),"",PRODUCT(Accomodation!$K52:$M52)))</f>
        <v/>
      </c>
      <c r="O52" s="59" t="str">
        <f t="shared" si="1"/>
        <v/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53"/>
      <c r="C53" s="53"/>
      <c r="D53" s="53"/>
      <c r="E53" s="53"/>
      <c r="F53" s="54"/>
      <c r="G53" s="53"/>
      <c r="H53" s="53"/>
      <c r="I53" s="56"/>
      <c r="J53" s="53"/>
      <c r="K53" s="30"/>
      <c r="L53" s="30"/>
      <c r="M53" s="58" t="str">
        <f>IF(I53="","",VLOOKUP(I53,factors!$A$3:$B$54,2))</f>
        <v/>
      </c>
      <c r="N53" s="59" t="str">
        <f>IF(K53="","",IF(OR(K53="",L53=""),"",PRODUCT(Accomodation!$K53:$M53)))</f>
        <v/>
      </c>
      <c r="O53" s="59" t="str">
        <f t="shared" si="1"/>
        <v/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53"/>
      <c r="C54" s="53"/>
      <c r="D54" s="53"/>
      <c r="E54" s="53"/>
      <c r="F54" s="54"/>
      <c r="G54" s="53"/>
      <c r="H54" s="53"/>
      <c r="I54" s="56"/>
      <c r="J54" s="53"/>
      <c r="K54" s="30"/>
      <c r="L54" s="30"/>
      <c r="M54" s="58" t="str">
        <f>IF(I54="","",VLOOKUP(I54,factors!$A$3:$B$54,2))</f>
        <v/>
      </c>
      <c r="N54" s="59" t="str">
        <f>IF(K54="","",IF(OR(K54="",L54=""),"",PRODUCT(Accomodation!$K54:$M54)))</f>
        <v/>
      </c>
      <c r="O54" s="59" t="str">
        <f t="shared" si="1"/>
        <v/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53"/>
      <c r="C55" s="53"/>
      <c r="D55" s="53"/>
      <c r="E55" s="53"/>
      <c r="F55" s="54"/>
      <c r="G55" s="53"/>
      <c r="H55" s="53"/>
      <c r="I55" s="56"/>
      <c r="J55" s="53"/>
      <c r="K55" s="30"/>
      <c r="L55" s="30"/>
      <c r="M55" s="58" t="str">
        <f>IF(I55="","",VLOOKUP(I55,factors!$A$3:$B$54,2))</f>
        <v/>
      </c>
      <c r="N55" s="59" t="str">
        <f>IF(K55="","",IF(OR(K55="",L55=""),"",PRODUCT(Accomodation!$K55:$M55)))</f>
        <v/>
      </c>
      <c r="O55" s="59" t="str">
        <f t="shared" si="1"/>
        <v/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53"/>
      <c r="C56" s="53"/>
      <c r="D56" s="53"/>
      <c r="E56" s="53"/>
      <c r="F56" s="54"/>
      <c r="G56" s="53"/>
      <c r="H56" s="53"/>
      <c r="I56" s="56"/>
      <c r="J56" s="53"/>
      <c r="K56" s="30"/>
      <c r="L56" s="30"/>
      <c r="M56" s="58" t="str">
        <f>IF(I56="","",VLOOKUP(I56,factors!$A$3:$B$54,2))</f>
        <v/>
      </c>
      <c r="N56" s="59" t="str">
        <f>IF(K56="","",IF(OR(K56="",L56=""),"",PRODUCT(Accomodation!$K56:$M56)))</f>
        <v/>
      </c>
      <c r="O56" s="59" t="str">
        <f t="shared" si="1"/>
        <v/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53"/>
      <c r="C57" s="53"/>
      <c r="D57" s="53"/>
      <c r="E57" s="53"/>
      <c r="F57" s="54"/>
      <c r="G57" s="53"/>
      <c r="H57" s="53"/>
      <c r="I57" s="56"/>
      <c r="J57" s="53"/>
      <c r="K57" s="30"/>
      <c r="L57" s="30"/>
      <c r="M57" s="58" t="str">
        <f>IF(I57="","",VLOOKUP(I57,factors!$A$3:$B$54,2))</f>
        <v/>
      </c>
      <c r="N57" s="59" t="str">
        <f>IF(K57="","",IF(OR(K57="",L57=""),"",PRODUCT(Accomodation!$K57:$M57)))</f>
        <v/>
      </c>
      <c r="O57" s="59" t="str">
        <f t="shared" si="1"/>
        <v/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53"/>
      <c r="C58" s="53"/>
      <c r="D58" s="53"/>
      <c r="E58" s="53"/>
      <c r="F58" s="54"/>
      <c r="G58" s="53"/>
      <c r="H58" s="53"/>
      <c r="I58" s="56"/>
      <c r="J58" s="53"/>
      <c r="K58" s="30"/>
      <c r="L58" s="30"/>
      <c r="M58" s="58" t="str">
        <f>IF(I58="","",VLOOKUP(I58,factors!$A$3:$B$54,2))</f>
        <v/>
      </c>
      <c r="N58" s="59" t="str">
        <f>IF(K58="","",IF(OR(K58="",L58=""),"",PRODUCT(Accomodation!$K58:$M58)))</f>
        <v/>
      </c>
      <c r="O58" s="59" t="str">
        <f t="shared" si="1"/>
        <v/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53"/>
      <c r="C59" s="53"/>
      <c r="D59" s="53"/>
      <c r="E59" s="53"/>
      <c r="F59" s="54"/>
      <c r="G59" s="53"/>
      <c r="H59" s="53"/>
      <c r="I59" s="56"/>
      <c r="J59" s="53"/>
      <c r="K59" s="30"/>
      <c r="L59" s="30"/>
      <c r="M59" s="58" t="str">
        <f>IF(I59="","",VLOOKUP(I59,factors!$A$3:$B$54,2))</f>
        <v/>
      </c>
      <c r="N59" s="59" t="str">
        <f>IF(K59="","",IF(OR(K59="",L59=""),"",PRODUCT(Accomodation!$K59:$M59)))</f>
        <v/>
      </c>
      <c r="O59" s="59" t="str">
        <f t="shared" si="1"/>
        <v/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53"/>
      <c r="C60" s="53"/>
      <c r="D60" s="53"/>
      <c r="E60" s="53"/>
      <c r="F60" s="54"/>
      <c r="G60" s="53"/>
      <c r="H60" s="53"/>
      <c r="I60" s="56"/>
      <c r="J60" s="53"/>
      <c r="K60" s="30"/>
      <c r="L60" s="30"/>
      <c r="M60" s="58" t="str">
        <f>IF(I60="","",VLOOKUP(I60,factors!$A$3:$B$54,2))</f>
        <v/>
      </c>
      <c r="N60" s="59" t="str">
        <f>IF(K60="","",IF(OR(K60="",L60=""),"",PRODUCT(Accomodation!$K60:$M60)))</f>
        <v/>
      </c>
      <c r="O60" s="59" t="str">
        <f t="shared" si="1"/>
        <v/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53"/>
      <c r="C61" s="53"/>
      <c r="D61" s="53"/>
      <c r="E61" s="53"/>
      <c r="F61" s="54"/>
      <c r="G61" s="53"/>
      <c r="H61" s="53"/>
      <c r="I61" s="56"/>
      <c r="J61" s="53"/>
      <c r="K61" s="30"/>
      <c r="L61" s="30"/>
      <c r="M61" s="58" t="str">
        <f>IF(I61="","",VLOOKUP(I61,factors!$A$3:$B$54,2))</f>
        <v/>
      </c>
      <c r="N61" s="59" t="str">
        <f>IF(K61="","",IF(OR(K61="",L61=""),"",PRODUCT(Accomodation!$K61:$M61)))</f>
        <v/>
      </c>
      <c r="O61" s="59" t="str">
        <f t="shared" si="1"/>
        <v/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53"/>
      <c r="C62" s="53"/>
      <c r="D62" s="53"/>
      <c r="E62" s="53"/>
      <c r="F62" s="54"/>
      <c r="G62" s="53"/>
      <c r="H62" s="53"/>
      <c r="I62" s="56"/>
      <c r="J62" s="53"/>
      <c r="K62" s="30"/>
      <c r="L62" s="30"/>
      <c r="M62" s="58" t="str">
        <f>IF(I62="","",VLOOKUP(I62,factors!$A$3:$B$54,2))</f>
        <v/>
      </c>
      <c r="N62" s="59" t="str">
        <f>IF(K62="","",IF(OR(K62="",L62=""),"",PRODUCT(Accomodation!$K62:$M62)))</f>
        <v/>
      </c>
      <c r="O62" s="59" t="str">
        <f t="shared" si="1"/>
        <v/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53"/>
      <c r="C63" s="53"/>
      <c r="D63" s="53"/>
      <c r="E63" s="53"/>
      <c r="F63" s="54"/>
      <c r="G63" s="53"/>
      <c r="H63" s="53"/>
      <c r="I63" s="56"/>
      <c r="J63" s="53"/>
      <c r="K63" s="30"/>
      <c r="L63" s="30"/>
      <c r="M63" s="58" t="str">
        <f>IF(I63="","",VLOOKUP(I63,factors!$A$3:$B$54,2))</f>
        <v/>
      </c>
      <c r="N63" s="59" t="str">
        <f>IF(K63="","",IF(OR(K63="",L63=""),"",PRODUCT(Accomodation!$K63:$M63)))</f>
        <v/>
      </c>
      <c r="O63" s="59" t="str">
        <f t="shared" si="1"/>
        <v/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53"/>
      <c r="C64" s="53"/>
      <c r="D64" s="53"/>
      <c r="E64" s="53"/>
      <c r="F64" s="54"/>
      <c r="G64" s="53"/>
      <c r="H64" s="53"/>
      <c r="I64" s="56"/>
      <c r="J64" s="53"/>
      <c r="K64" s="30"/>
      <c r="L64" s="30"/>
      <c r="M64" s="58" t="str">
        <f>IF(I64="","",VLOOKUP(I64,factors!$A$3:$B$54,2))</f>
        <v/>
      </c>
      <c r="N64" s="59" t="str">
        <f>IF(K64="","",IF(OR(K64="",L64=""),"",PRODUCT(Accomodation!$K64:$M64)))</f>
        <v/>
      </c>
      <c r="O64" s="59" t="str">
        <f t="shared" si="1"/>
        <v/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53"/>
      <c r="C65" s="53"/>
      <c r="D65" s="53"/>
      <c r="E65" s="53"/>
      <c r="F65" s="54"/>
      <c r="G65" s="53"/>
      <c r="H65" s="53"/>
      <c r="I65" s="56"/>
      <c r="J65" s="53"/>
      <c r="K65" s="30"/>
      <c r="L65" s="30"/>
      <c r="M65" s="58" t="str">
        <f>IF(I65="","",VLOOKUP(I65,factors!$A$3:$B$54,2))</f>
        <v/>
      </c>
      <c r="N65" s="59" t="str">
        <f>IF(K65="","",IF(OR(K65="",L65=""),"",PRODUCT(Accomodation!$K65:$M65)))</f>
        <v/>
      </c>
      <c r="O65" s="59" t="str">
        <f t="shared" si="1"/>
        <v/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53"/>
      <c r="C66" s="53"/>
      <c r="D66" s="53"/>
      <c r="E66" s="53"/>
      <c r="F66" s="54"/>
      <c r="G66" s="53"/>
      <c r="H66" s="53"/>
      <c r="I66" s="56"/>
      <c r="J66" s="53"/>
      <c r="K66" s="30"/>
      <c r="L66" s="30"/>
      <c r="M66" s="58" t="str">
        <f>IF(I66="","",VLOOKUP(I66,factors!$A$3:$B$54,2))</f>
        <v/>
      </c>
      <c r="N66" s="59" t="str">
        <f>IF(K66="","",IF(OR(K66="",L66=""),"",PRODUCT(Accomodation!$K66:$M66)))</f>
        <v/>
      </c>
      <c r="O66" s="59" t="str">
        <f t="shared" si="1"/>
        <v/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53"/>
      <c r="C67" s="53"/>
      <c r="D67" s="53"/>
      <c r="E67" s="53"/>
      <c r="F67" s="54"/>
      <c r="G67" s="53"/>
      <c r="H67" s="53"/>
      <c r="I67" s="56"/>
      <c r="J67" s="53"/>
      <c r="K67" s="30"/>
      <c r="L67" s="30"/>
      <c r="M67" s="58" t="str">
        <f>IF(I67="","",VLOOKUP(I67,factors!$A$3:$B$54,2))</f>
        <v/>
      </c>
      <c r="N67" s="59" t="str">
        <f>IF(K67="","",IF(OR(K67="",L67=""),"",PRODUCT(Accomodation!$K67:$M67)))</f>
        <v/>
      </c>
      <c r="O67" s="59" t="str">
        <f t="shared" si="1"/>
        <v/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53"/>
      <c r="C68" s="53"/>
      <c r="D68" s="53"/>
      <c r="E68" s="53"/>
      <c r="F68" s="54"/>
      <c r="G68" s="53"/>
      <c r="H68" s="53"/>
      <c r="I68" s="56"/>
      <c r="J68" s="53"/>
      <c r="K68" s="30"/>
      <c r="L68" s="30"/>
      <c r="M68" s="58" t="str">
        <f>IF(I68="","",VLOOKUP(I68,factors!$A$3:$B$54,2))</f>
        <v/>
      </c>
      <c r="N68" s="59" t="str">
        <f>IF(K68="","",IF(OR(K68="",L68=""),"",PRODUCT(Accomodation!$K68:$M68)))</f>
        <v/>
      </c>
      <c r="O68" s="59" t="str">
        <f t="shared" si="1"/>
        <v/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53"/>
      <c r="C69" s="53"/>
      <c r="D69" s="53"/>
      <c r="E69" s="53"/>
      <c r="F69" s="54"/>
      <c r="G69" s="53"/>
      <c r="H69" s="53"/>
      <c r="I69" s="56"/>
      <c r="J69" s="53"/>
      <c r="K69" s="30"/>
      <c r="L69" s="30"/>
      <c r="M69" s="58" t="str">
        <f>IF(I69="","",VLOOKUP(I69,factors!$A$3:$B$54,2))</f>
        <v/>
      </c>
      <c r="N69" s="59" t="str">
        <f>IF(K69="","",IF(OR(K69="",L69=""),"",PRODUCT(Accomodation!$K69:$M69)))</f>
        <v/>
      </c>
      <c r="O69" s="59" t="str">
        <f t="shared" si="1"/>
        <v/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53"/>
      <c r="C70" s="53"/>
      <c r="D70" s="53"/>
      <c r="E70" s="53"/>
      <c r="F70" s="54"/>
      <c r="G70" s="53"/>
      <c r="H70" s="53"/>
      <c r="I70" s="56"/>
      <c r="J70" s="53"/>
      <c r="K70" s="30"/>
      <c r="L70" s="30"/>
      <c r="M70" s="58" t="str">
        <f>IF(I70="","",VLOOKUP(I70,factors!$A$3:$B$54,2))</f>
        <v/>
      </c>
      <c r="N70" s="59" t="str">
        <f>IF(K70="","",IF(OR(K70="",L70=""),"",PRODUCT(Accomodation!$K70:$M70)))</f>
        <v/>
      </c>
      <c r="O70" s="59" t="str">
        <f t="shared" si="1"/>
        <v/>
      </c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53"/>
      <c r="C71" s="53"/>
      <c r="D71" s="53"/>
      <c r="E71" s="53"/>
      <c r="F71" s="54"/>
      <c r="G71" s="53"/>
      <c r="H71" s="53"/>
      <c r="I71" s="56"/>
      <c r="J71" s="53"/>
      <c r="K71" s="30"/>
      <c r="L71" s="30"/>
      <c r="M71" s="58" t="str">
        <f>IF(I71="","",VLOOKUP(I71,factors!$A$3:$B$54,2))</f>
        <v/>
      </c>
      <c r="N71" s="59" t="str">
        <f>IF(K71="","",IF(OR(K71="",L71=""),"",PRODUCT(Accomodation!$K71:$M71)))</f>
        <v/>
      </c>
      <c r="O71" s="59" t="str">
        <f t="shared" si="1"/>
        <v/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53"/>
      <c r="C72" s="64"/>
      <c r="D72" s="64"/>
      <c r="E72" s="65"/>
      <c r="F72" s="66"/>
      <c r="G72" s="64"/>
      <c r="H72" s="64"/>
      <c r="I72" s="56"/>
      <c r="J72" s="53"/>
      <c r="K72" s="30"/>
      <c r="L72" s="30"/>
      <c r="M72" s="58" t="str">
        <f>IF(I72="","",VLOOKUP(I72,factors!$A$3:$B$54,2))</f>
        <v/>
      </c>
      <c r="N72" s="59" t="str">
        <f>IF(K72="","",IF(OR(K72="",L72=""),"",PRODUCT(Accomodation!$K72:$M72)))</f>
        <v/>
      </c>
      <c r="O72" s="59" t="str">
        <f t="shared" si="1"/>
        <v/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53"/>
      <c r="C73" s="53"/>
      <c r="D73" s="53"/>
      <c r="E73" s="53"/>
      <c r="F73" s="54"/>
      <c r="G73" s="53"/>
      <c r="H73" s="53"/>
      <c r="I73" s="56"/>
      <c r="J73" s="53"/>
      <c r="K73" s="30"/>
      <c r="L73" s="30"/>
      <c r="M73" s="58" t="str">
        <f>IF(I73="","",VLOOKUP(I73,factors!$A$3:$B$54,2))</f>
        <v/>
      </c>
      <c r="N73" s="59" t="str">
        <f>IF(K73="","",IF(OR(K73="",L73=""),"",PRODUCT(Accomodation!$K73:$M73)))</f>
        <v/>
      </c>
      <c r="O73" s="59" t="str">
        <f t="shared" si="1"/>
        <v/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53"/>
      <c r="C74" s="53"/>
      <c r="D74" s="53"/>
      <c r="E74" s="53"/>
      <c r="F74" s="54"/>
      <c r="G74" s="53"/>
      <c r="H74" s="53"/>
      <c r="I74" s="56"/>
      <c r="J74" s="53"/>
      <c r="K74" s="30"/>
      <c r="L74" s="30"/>
      <c r="M74" s="58" t="str">
        <f>IF(I74="","",VLOOKUP(I74,factors!$A$3:$B$54,2))</f>
        <v/>
      </c>
      <c r="N74" s="59" t="str">
        <f>IF(K74="","",IF(OR(K74="",L74=""),"",PRODUCT(Accomodation!$K74:$M74)))</f>
        <v/>
      </c>
      <c r="O74" s="59" t="str">
        <f t="shared" si="1"/>
        <v/>
      </c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53"/>
      <c r="C75" s="53"/>
      <c r="D75" s="53"/>
      <c r="E75" s="53"/>
      <c r="F75" s="54"/>
      <c r="G75" s="53"/>
      <c r="H75" s="53"/>
      <c r="I75" s="56"/>
      <c r="J75" s="53"/>
      <c r="K75" s="30"/>
      <c r="L75" s="30"/>
      <c r="M75" s="58" t="str">
        <f>IF(I75="","",VLOOKUP(I75,factors!$A$3:$B$54,2))</f>
        <v/>
      </c>
      <c r="N75" s="59" t="str">
        <f>IF(K75="","",IF(OR(K75="",L75=""),"",PRODUCT(Accomodation!$K75:$M75)))</f>
        <v/>
      </c>
      <c r="O75" s="59" t="str">
        <f t="shared" si="1"/>
        <v/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53"/>
      <c r="C76" s="53"/>
      <c r="D76" s="53"/>
      <c r="E76" s="53"/>
      <c r="F76" s="54"/>
      <c r="G76" s="53"/>
      <c r="H76" s="53"/>
      <c r="I76" s="56"/>
      <c r="J76" s="53"/>
      <c r="K76" s="30"/>
      <c r="L76" s="30"/>
      <c r="M76" s="58" t="str">
        <f>IF(I76="","",VLOOKUP(I76,factors!$A$3:$B$54,2))</f>
        <v/>
      </c>
      <c r="N76" s="59" t="str">
        <f>IF(K76="","",IF(OR(K76="",L76=""),"",PRODUCT(Accomodation!$K76:$M76)))</f>
        <v/>
      </c>
      <c r="O76" s="59" t="str">
        <f t="shared" si="1"/>
        <v/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53"/>
      <c r="C77" s="53"/>
      <c r="D77" s="53"/>
      <c r="E77" s="53"/>
      <c r="F77" s="54"/>
      <c r="G77" s="53"/>
      <c r="H77" s="53"/>
      <c r="I77" s="56"/>
      <c r="J77" s="53"/>
      <c r="K77" s="30"/>
      <c r="L77" s="30"/>
      <c r="M77" s="58" t="str">
        <f>IF(I77="","",VLOOKUP(I77,factors!$A$3:$B$54,2))</f>
        <v/>
      </c>
      <c r="N77" s="59" t="str">
        <f>IF(K77="","",IF(OR(K77="",L77=""),"",PRODUCT(Accomodation!$K77:$M77)))</f>
        <v/>
      </c>
      <c r="O77" s="59" t="str">
        <f t="shared" si="1"/>
        <v/>
      </c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53"/>
      <c r="C78" s="53"/>
      <c r="D78" s="53"/>
      <c r="E78" s="53"/>
      <c r="F78" s="54"/>
      <c r="G78" s="53"/>
      <c r="H78" s="53"/>
      <c r="I78" s="56"/>
      <c r="J78" s="53"/>
      <c r="K78" s="30"/>
      <c r="L78" s="30"/>
      <c r="M78" s="58" t="str">
        <f>IF(I78="","",VLOOKUP(I78,factors!$A$3:$B$54,2))</f>
        <v/>
      </c>
      <c r="N78" s="59" t="str">
        <f>IF(K78="","",IF(OR(K78="",L78=""),"",PRODUCT(Accomodation!$K78:$M78)))</f>
        <v/>
      </c>
      <c r="O78" s="59" t="str">
        <f t="shared" si="1"/>
        <v/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53"/>
      <c r="C79" s="53"/>
      <c r="D79" s="53"/>
      <c r="E79" s="53"/>
      <c r="F79" s="54"/>
      <c r="G79" s="53"/>
      <c r="H79" s="53"/>
      <c r="I79" s="56"/>
      <c r="J79" s="53"/>
      <c r="K79" s="30"/>
      <c r="L79" s="30"/>
      <c r="M79" s="58" t="str">
        <f>IF(I79="","",VLOOKUP(I79,factors!$A$3:$B$54,2))</f>
        <v/>
      </c>
      <c r="N79" s="59" t="str">
        <f>IF(K79="","",IF(OR(K79="",L79=""),"",PRODUCT(Accomodation!$K79:$M79)))</f>
        <v/>
      </c>
      <c r="O79" s="59" t="str">
        <f t="shared" si="1"/>
        <v/>
      </c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53"/>
      <c r="C80" s="53"/>
      <c r="D80" s="53"/>
      <c r="E80" s="53"/>
      <c r="F80" s="54"/>
      <c r="G80" s="53"/>
      <c r="H80" s="53"/>
      <c r="I80" s="56"/>
      <c r="J80" s="53"/>
      <c r="K80" s="30"/>
      <c r="L80" s="30"/>
      <c r="M80" s="58" t="str">
        <f>IF(I80="","",VLOOKUP(I80,factors!$A$3:$B$54,2))</f>
        <v/>
      </c>
      <c r="N80" s="59" t="str">
        <f>IF(K80="","",IF(OR(K80="",L80=""),"",PRODUCT(Accomodation!$K80:$M80)))</f>
        <v/>
      </c>
      <c r="O80" s="59" t="str">
        <f t="shared" si="1"/>
        <v/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53"/>
      <c r="C81" s="53"/>
      <c r="D81" s="53"/>
      <c r="E81" s="53"/>
      <c r="F81" s="54"/>
      <c r="G81" s="53"/>
      <c r="H81" s="53"/>
      <c r="I81" s="56"/>
      <c r="J81" s="53"/>
      <c r="K81" s="30"/>
      <c r="L81" s="30"/>
      <c r="M81" s="58" t="str">
        <f>IF(I81="","",VLOOKUP(I81,factors!$A$3:$B$54,2))</f>
        <v/>
      </c>
      <c r="N81" s="59" t="str">
        <f>IF(K81="","",IF(OR(K81="",L81=""),"",PRODUCT(Accomodation!$K81:$M81)))</f>
        <v/>
      </c>
      <c r="O81" s="59" t="str">
        <f t="shared" si="1"/>
        <v/>
      </c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53"/>
      <c r="C82" s="53"/>
      <c r="D82" s="53"/>
      <c r="E82" s="53"/>
      <c r="F82" s="54"/>
      <c r="G82" s="53"/>
      <c r="H82" s="53"/>
      <c r="I82" s="56"/>
      <c r="J82" s="53"/>
      <c r="K82" s="30"/>
      <c r="L82" s="30"/>
      <c r="M82" s="58" t="str">
        <f>IF(I82="","",VLOOKUP(I82,factors!$A$3:$B$54,2))</f>
        <v/>
      </c>
      <c r="N82" s="59" t="str">
        <f>IF(K82="","",IF(OR(K82="",L82=""),"",PRODUCT(Accomodation!$K82:$M82)))</f>
        <v/>
      </c>
      <c r="O82" s="59" t="str">
        <f t="shared" si="1"/>
        <v/>
      </c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53"/>
      <c r="C83" s="53"/>
      <c r="D83" s="53"/>
      <c r="E83" s="53"/>
      <c r="F83" s="54"/>
      <c r="G83" s="53"/>
      <c r="H83" s="53"/>
      <c r="I83" s="56"/>
      <c r="J83" s="53"/>
      <c r="K83" s="30"/>
      <c r="L83" s="30"/>
      <c r="M83" s="58" t="str">
        <f>IF(I83="","",VLOOKUP(I83,factors!$A$3:$B$54,2))</f>
        <v/>
      </c>
      <c r="N83" s="59" t="str">
        <f>IF(K83="","",IF(OR(K83="",L83=""),"",PRODUCT(Accomodation!$K83:$M83)))</f>
        <v/>
      </c>
      <c r="O83" s="59" t="str">
        <f t="shared" si="1"/>
        <v/>
      </c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53"/>
      <c r="C84" s="53"/>
      <c r="D84" s="53"/>
      <c r="E84" s="53"/>
      <c r="F84" s="54"/>
      <c r="G84" s="53"/>
      <c r="H84" s="53"/>
      <c r="I84" s="56"/>
      <c r="J84" s="53"/>
      <c r="K84" s="30"/>
      <c r="L84" s="30"/>
      <c r="M84" s="58" t="str">
        <f>IF(I84="","",VLOOKUP(I84,factors!$A$3:$B$54,2))</f>
        <v/>
      </c>
      <c r="N84" s="59" t="str">
        <f>IF(K84="","",IF(OR(K84="",L84=""),"",PRODUCT(Accomodation!$K84:$M84)))</f>
        <v/>
      </c>
      <c r="O84" s="59" t="str">
        <f t="shared" si="1"/>
        <v/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53"/>
      <c r="C85" s="53"/>
      <c r="D85" s="53"/>
      <c r="E85" s="53"/>
      <c r="F85" s="54"/>
      <c r="G85" s="53"/>
      <c r="H85" s="53"/>
      <c r="I85" s="56"/>
      <c r="J85" s="53"/>
      <c r="K85" s="30"/>
      <c r="L85" s="30"/>
      <c r="M85" s="58" t="str">
        <f>IF(I85="","",VLOOKUP(I85,factors!$A$3:$B$54,2))</f>
        <v/>
      </c>
      <c r="N85" s="59" t="str">
        <f>IF(K85="","",IF(OR(K85="",L85=""),"",PRODUCT(Accomodation!$K85:$M85)))</f>
        <v/>
      </c>
      <c r="O85" s="59" t="str">
        <f t="shared" si="1"/>
        <v/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53"/>
      <c r="C86" s="53"/>
      <c r="D86" s="53"/>
      <c r="E86" s="53"/>
      <c r="F86" s="54"/>
      <c r="G86" s="53"/>
      <c r="H86" s="53"/>
      <c r="I86" s="56"/>
      <c r="J86" s="53"/>
      <c r="K86" s="30"/>
      <c r="L86" s="30"/>
      <c r="M86" s="58" t="str">
        <f>IF(I86="","",VLOOKUP(I86,factors!$A$3:$B$54,2))</f>
        <v/>
      </c>
      <c r="N86" s="59" t="str">
        <f>IF(K86="","",IF(OR(K86="",L86=""),"",PRODUCT(Accomodation!$K86:$M86)))</f>
        <v/>
      </c>
      <c r="O86" s="59" t="str">
        <f t="shared" si="1"/>
        <v/>
      </c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53"/>
      <c r="C87" s="53"/>
      <c r="D87" s="53"/>
      <c r="E87" s="53"/>
      <c r="F87" s="54"/>
      <c r="G87" s="53"/>
      <c r="H87" s="53"/>
      <c r="I87" s="56"/>
      <c r="J87" s="53"/>
      <c r="K87" s="30"/>
      <c r="L87" s="30"/>
      <c r="M87" s="58" t="str">
        <f>IF(I87="","",VLOOKUP(I87,factors!$A$3:$B$54,2))</f>
        <v/>
      </c>
      <c r="N87" s="59" t="str">
        <f>IF(K87="","",IF(OR(K87="",L87=""),"",PRODUCT(Accomodation!$K87:$M87)))</f>
        <v/>
      </c>
      <c r="O87" s="59" t="str">
        <f t="shared" si="1"/>
        <v/>
      </c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53"/>
      <c r="C88" s="53"/>
      <c r="D88" s="53"/>
      <c r="E88" s="53"/>
      <c r="F88" s="54"/>
      <c r="G88" s="53"/>
      <c r="H88" s="53"/>
      <c r="I88" s="56"/>
      <c r="J88" s="53"/>
      <c r="K88" s="30"/>
      <c r="L88" s="30"/>
      <c r="M88" s="58" t="str">
        <f>IF(I88="","",VLOOKUP(I88,factors!$A$3:$B$54,2))</f>
        <v/>
      </c>
      <c r="N88" s="59" t="str">
        <f>IF(K88="","",IF(OR(K88="",L88=""),"",PRODUCT(Accomodation!$K88:$M88)))</f>
        <v/>
      </c>
      <c r="O88" s="59" t="str">
        <f t="shared" si="1"/>
        <v/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53"/>
      <c r="C89" s="53"/>
      <c r="D89" s="53"/>
      <c r="E89" s="53"/>
      <c r="F89" s="54"/>
      <c r="G89" s="53"/>
      <c r="H89" s="53"/>
      <c r="I89" s="56"/>
      <c r="J89" s="53"/>
      <c r="K89" s="30"/>
      <c r="L89" s="30"/>
      <c r="M89" s="58" t="str">
        <f>IF(I89="","",VLOOKUP(I89,factors!$A$3:$B$54,2))</f>
        <v/>
      </c>
      <c r="N89" s="59" t="str">
        <f>IF(K89="","",IF(OR(K89="",L89=""),"",PRODUCT(Accomodation!$K89:$M89)))</f>
        <v/>
      </c>
      <c r="O89" s="59" t="str">
        <f t="shared" si="1"/>
        <v/>
      </c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53"/>
      <c r="C90" s="53"/>
      <c r="D90" s="53"/>
      <c r="E90" s="53"/>
      <c r="F90" s="54"/>
      <c r="G90" s="53"/>
      <c r="H90" s="53"/>
      <c r="I90" s="56"/>
      <c r="J90" s="53"/>
      <c r="K90" s="30"/>
      <c r="L90" s="30"/>
      <c r="M90" s="58" t="str">
        <f>IF(I90="","",VLOOKUP(I90,factors!$A$3:$B$54,2))</f>
        <v/>
      </c>
      <c r="N90" s="59" t="str">
        <f>IF(K90="","",IF(OR(K90="",L90=""),"",PRODUCT(Accomodation!$K90:$M90)))</f>
        <v/>
      </c>
      <c r="O90" s="59" t="str">
        <f t="shared" si="1"/>
        <v/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53"/>
      <c r="C91" s="53"/>
      <c r="D91" s="53"/>
      <c r="E91" s="53"/>
      <c r="F91" s="54"/>
      <c r="G91" s="53"/>
      <c r="H91" s="53"/>
      <c r="I91" s="56"/>
      <c r="J91" s="53"/>
      <c r="K91" s="30"/>
      <c r="L91" s="30"/>
      <c r="M91" s="58" t="str">
        <f>IF(I91="","",VLOOKUP(I91,factors!$A$3:$B$54,2))</f>
        <v/>
      </c>
      <c r="N91" s="59" t="str">
        <f>IF(K91="","",IF(OR(K91="",L91=""),"",PRODUCT(Accomodation!$K91:$M91)))</f>
        <v/>
      </c>
      <c r="O91" s="59" t="str">
        <f t="shared" si="1"/>
        <v/>
      </c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53"/>
      <c r="C92" s="53"/>
      <c r="D92" s="53"/>
      <c r="E92" s="53"/>
      <c r="F92" s="54"/>
      <c r="G92" s="53"/>
      <c r="H92" s="53"/>
      <c r="I92" s="56"/>
      <c r="J92" s="53"/>
      <c r="K92" s="30"/>
      <c r="L92" s="30"/>
      <c r="M92" s="58" t="str">
        <f>IF(I92="","",VLOOKUP(I92,factors!$A$3:$B$54,2))</f>
        <v/>
      </c>
      <c r="N92" s="59" t="str">
        <f>IF(K92="","",IF(OR(K92="",L92=""),"",PRODUCT(Accomodation!$K92:$M92)))</f>
        <v/>
      </c>
      <c r="O92" s="59" t="str">
        <f t="shared" si="1"/>
        <v/>
      </c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53"/>
      <c r="C93" s="53"/>
      <c r="D93" s="53"/>
      <c r="E93" s="53"/>
      <c r="F93" s="54"/>
      <c r="G93" s="53"/>
      <c r="H93" s="53"/>
      <c r="I93" s="56"/>
      <c r="J93" s="53"/>
      <c r="K93" s="30"/>
      <c r="L93" s="30"/>
      <c r="M93" s="58" t="str">
        <f>IF(I93="","",VLOOKUP(I93,factors!$A$3:$B$54,2))</f>
        <v/>
      </c>
      <c r="N93" s="59" t="str">
        <f>IF(K93="","",IF(OR(K93="",L93=""),"",PRODUCT(Accomodation!$K93:$M93)))</f>
        <v/>
      </c>
      <c r="O93" s="59" t="str">
        <f t="shared" si="1"/>
        <v/>
      </c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53"/>
      <c r="C94" s="53"/>
      <c r="D94" s="53"/>
      <c r="E94" s="53"/>
      <c r="F94" s="54"/>
      <c r="G94" s="53"/>
      <c r="H94" s="53"/>
      <c r="I94" s="56"/>
      <c r="J94" s="53"/>
      <c r="K94" s="30"/>
      <c r="L94" s="30"/>
      <c r="M94" s="58" t="str">
        <f>IF(I94="","",VLOOKUP(I94,factors!$A$3:$B$54,2))</f>
        <v/>
      </c>
      <c r="N94" s="59" t="str">
        <f>IF(K94="","",IF(OR(K94="",L94=""),"",PRODUCT(Accomodation!$K94:$M94)))</f>
        <v/>
      </c>
      <c r="O94" s="59" t="str">
        <f t="shared" si="1"/>
        <v/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53"/>
      <c r="C95" s="53"/>
      <c r="D95" s="53"/>
      <c r="E95" s="53"/>
      <c r="F95" s="54"/>
      <c r="G95" s="53"/>
      <c r="H95" s="53"/>
      <c r="I95" s="56"/>
      <c r="J95" s="53"/>
      <c r="K95" s="30"/>
      <c r="L95" s="30"/>
      <c r="M95" s="58" t="str">
        <f>IF(I95="","",VLOOKUP(I95,factors!$A$3:$B$54,2))</f>
        <v/>
      </c>
      <c r="N95" s="59" t="str">
        <f>IF(K95="","",IF(OR(K95="",L95=""),"",PRODUCT(Accomodation!$K95:$M95)))</f>
        <v/>
      </c>
      <c r="O95" s="59" t="str">
        <f t="shared" si="1"/>
        <v/>
      </c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53"/>
      <c r="C96" s="53"/>
      <c r="D96" s="53"/>
      <c r="E96" s="53"/>
      <c r="F96" s="54"/>
      <c r="G96" s="53"/>
      <c r="H96" s="53"/>
      <c r="I96" s="56"/>
      <c r="J96" s="53"/>
      <c r="K96" s="30"/>
      <c r="L96" s="30"/>
      <c r="M96" s="58" t="str">
        <f>IF(I96="","",VLOOKUP(I96,factors!$A$3:$B$54,2))</f>
        <v/>
      </c>
      <c r="N96" s="59" t="str">
        <f>IF(K96="","",IF(OR(K96="",L96=""),"",PRODUCT(Accomodation!$K96:$M96)))</f>
        <v/>
      </c>
      <c r="O96" s="59" t="str">
        <f t="shared" si="1"/>
        <v/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53"/>
      <c r="C97" s="53"/>
      <c r="D97" s="53"/>
      <c r="E97" s="53"/>
      <c r="F97" s="54"/>
      <c r="G97" s="53"/>
      <c r="H97" s="53"/>
      <c r="I97" s="56"/>
      <c r="J97" s="53"/>
      <c r="K97" s="30"/>
      <c r="L97" s="30"/>
      <c r="M97" s="58" t="str">
        <f>IF(I97="","",VLOOKUP(I97,factors!$A$3:$B$54,2))</f>
        <v/>
      </c>
      <c r="N97" s="59" t="str">
        <f>IF(K97="","",IF(OR(K97="",L97=""),"",PRODUCT(Accomodation!$K97:$M97)))</f>
        <v/>
      </c>
      <c r="O97" s="59" t="str">
        <f t="shared" si="1"/>
        <v/>
      </c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53"/>
      <c r="C98" s="53"/>
      <c r="D98" s="53"/>
      <c r="E98" s="53"/>
      <c r="F98" s="54"/>
      <c r="G98" s="53"/>
      <c r="H98" s="53"/>
      <c r="I98" s="56"/>
      <c r="J98" s="53"/>
      <c r="K98" s="30"/>
      <c r="L98" s="30"/>
      <c r="M98" s="58" t="str">
        <f>IF(I98="","",VLOOKUP(I98,factors!$A$3:$B$54,2))</f>
        <v/>
      </c>
      <c r="N98" s="59" t="str">
        <f>IF(K98="","",IF(OR(K98="",L98=""),"",PRODUCT(Accomodation!$K98:$M98)))</f>
        <v/>
      </c>
      <c r="O98" s="59" t="str">
        <f t="shared" si="1"/>
        <v/>
      </c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53"/>
      <c r="C99" s="53"/>
      <c r="D99" s="53"/>
      <c r="E99" s="53"/>
      <c r="F99" s="54"/>
      <c r="G99" s="53"/>
      <c r="H99" s="53"/>
      <c r="I99" s="56"/>
      <c r="J99" s="53"/>
      <c r="K99" s="30"/>
      <c r="L99" s="30"/>
      <c r="M99" s="58" t="str">
        <f>IF(I99="","",VLOOKUP(I99,factors!$A$3:$B$54,2))</f>
        <v/>
      </c>
      <c r="N99" s="59" t="str">
        <f>IF(K99="","",IF(OR(K99="",L99=""),"",PRODUCT(Accomodation!$K99:$M99)))</f>
        <v/>
      </c>
      <c r="O99" s="59" t="str">
        <f t="shared" si="1"/>
        <v/>
      </c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61"/>
      <c r="C100" s="61"/>
      <c r="D100" s="61"/>
      <c r="E100" s="61"/>
      <c r="F100" s="67"/>
      <c r="G100" s="61"/>
      <c r="H100" s="61"/>
      <c r="I100" s="56"/>
      <c r="J100" s="61"/>
      <c r="K100" s="30"/>
      <c r="L100" s="30"/>
      <c r="M100" s="58" t="str">
        <f>IF(I100="","",VLOOKUP(I100,factors!$A$3:$B$54,2))</f>
        <v/>
      </c>
      <c r="N100" s="59" t="str">
        <f>IF(K100="","",IF(OR(K100="",L100=""),"",PRODUCT(Accomodation!$K100:$M100)))</f>
        <v/>
      </c>
      <c r="O100" s="68" t="str">
        <f t="shared" si="1"/>
        <v/>
      </c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9.5" customHeight="1">
      <c r="A101" s="26"/>
      <c r="B101" s="26"/>
      <c r="C101" s="26"/>
      <c r="D101" s="26"/>
      <c r="E101" s="26"/>
      <c r="F101" s="47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9.5" customHeight="1">
      <c r="A102" s="26"/>
      <c r="B102" s="26"/>
      <c r="C102" s="26"/>
      <c r="D102" s="26"/>
      <c r="E102" s="26"/>
      <c r="F102" s="47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9.5" customHeight="1">
      <c r="A103" s="26"/>
      <c r="B103" s="26"/>
      <c r="C103" s="26"/>
      <c r="D103" s="26"/>
      <c r="E103" s="26"/>
      <c r="F103" s="47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9.5" customHeight="1">
      <c r="A104" s="26"/>
      <c r="B104" s="26"/>
      <c r="C104" s="26"/>
      <c r="D104" s="26"/>
      <c r="E104" s="26"/>
      <c r="F104" s="47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9.5" customHeight="1">
      <c r="A105" s="26"/>
      <c r="B105" s="26"/>
      <c r="C105" s="26"/>
      <c r="D105" s="26"/>
      <c r="E105" s="26"/>
      <c r="F105" s="47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9.5" customHeight="1">
      <c r="A106" s="26"/>
      <c r="B106" s="26"/>
      <c r="C106" s="26"/>
      <c r="D106" s="26"/>
      <c r="E106" s="26"/>
      <c r="F106" s="47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9.5" customHeight="1">
      <c r="A107" s="26"/>
      <c r="B107" s="26"/>
      <c r="C107" s="26"/>
      <c r="D107" s="26"/>
      <c r="E107" s="26"/>
      <c r="F107" s="47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9.5" customHeight="1">
      <c r="A108" s="26"/>
      <c r="B108" s="26"/>
      <c r="C108" s="26"/>
      <c r="D108" s="26"/>
      <c r="E108" s="26"/>
      <c r="F108" s="47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9.5" customHeight="1">
      <c r="A109" s="26"/>
      <c r="B109" s="26"/>
      <c r="C109" s="26"/>
      <c r="D109" s="26"/>
      <c r="E109" s="26"/>
      <c r="F109" s="47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9.5" customHeight="1">
      <c r="A110" s="26"/>
      <c r="B110" s="26"/>
      <c r="C110" s="26"/>
      <c r="D110" s="26"/>
      <c r="E110" s="26"/>
      <c r="F110" s="4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9.5" customHeight="1">
      <c r="A111" s="26"/>
      <c r="B111" s="26"/>
      <c r="C111" s="26"/>
      <c r="D111" s="26"/>
      <c r="E111" s="26"/>
      <c r="F111" s="47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9.5" customHeight="1">
      <c r="A112" s="26"/>
      <c r="B112" s="26"/>
      <c r="C112" s="26"/>
      <c r="D112" s="26"/>
      <c r="E112" s="26"/>
      <c r="F112" s="47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9.5" customHeight="1">
      <c r="A113" s="26"/>
      <c r="B113" s="26"/>
      <c r="C113" s="26"/>
      <c r="D113" s="26"/>
      <c r="E113" s="26"/>
      <c r="F113" s="47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9.5" customHeight="1">
      <c r="A114" s="26"/>
      <c r="B114" s="26"/>
      <c r="C114" s="26"/>
      <c r="D114" s="26"/>
      <c r="E114" s="26"/>
      <c r="F114" s="47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9.5" customHeight="1">
      <c r="A115" s="26"/>
      <c r="B115" s="26"/>
      <c r="C115" s="26"/>
      <c r="D115" s="26"/>
      <c r="E115" s="26"/>
      <c r="F115" s="47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9.5" customHeight="1">
      <c r="A116" s="26"/>
      <c r="B116" s="26"/>
      <c r="C116" s="26"/>
      <c r="D116" s="26"/>
      <c r="E116" s="26"/>
      <c r="F116" s="47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9.5" customHeight="1">
      <c r="A117" s="26"/>
      <c r="B117" s="26"/>
      <c r="C117" s="26"/>
      <c r="D117" s="26"/>
      <c r="E117" s="26"/>
      <c r="F117" s="47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9.5" customHeight="1">
      <c r="A118" s="26"/>
      <c r="B118" s="26"/>
      <c r="C118" s="26"/>
      <c r="D118" s="26"/>
      <c r="E118" s="26"/>
      <c r="F118" s="47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9.5" customHeight="1">
      <c r="A119" s="26"/>
      <c r="B119" s="26"/>
      <c r="C119" s="26"/>
      <c r="D119" s="26"/>
      <c r="E119" s="26"/>
      <c r="F119" s="47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9.5" customHeight="1">
      <c r="A120" s="26"/>
      <c r="B120" s="26"/>
      <c r="C120" s="26"/>
      <c r="D120" s="26"/>
      <c r="E120" s="26"/>
      <c r="F120" s="47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9.5" customHeight="1">
      <c r="A121" s="26"/>
      <c r="B121" s="26"/>
      <c r="C121" s="26"/>
      <c r="D121" s="26"/>
      <c r="E121" s="26"/>
      <c r="F121" s="47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9.5" customHeight="1">
      <c r="A122" s="26"/>
      <c r="B122" s="26"/>
      <c r="C122" s="26"/>
      <c r="D122" s="26"/>
      <c r="E122" s="26"/>
      <c r="F122" s="47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9.5" customHeight="1">
      <c r="A123" s="26"/>
      <c r="B123" s="26"/>
      <c r="C123" s="26"/>
      <c r="D123" s="26"/>
      <c r="E123" s="26"/>
      <c r="F123" s="47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9.5" customHeight="1">
      <c r="A124" s="26"/>
      <c r="B124" s="26"/>
      <c r="C124" s="26"/>
      <c r="D124" s="26"/>
      <c r="E124" s="26"/>
      <c r="F124" s="47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9.5" customHeight="1">
      <c r="A125" s="26"/>
      <c r="B125" s="26"/>
      <c r="C125" s="26"/>
      <c r="D125" s="26"/>
      <c r="E125" s="26"/>
      <c r="F125" s="47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9.5" customHeight="1">
      <c r="A126" s="26"/>
      <c r="B126" s="26"/>
      <c r="C126" s="26"/>
      <c r="D126" s="26"/>
      <c r="E126" s="26"/>
      <c r="F126" s="47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9.5" customHeight="1">
      <c r="A127" s="26"/>
      <c r="B127" s="26"/>
      <c r="C127" s="26"/>
      <c r="D127" s="26"/>
      <c r="E127" s="26"/>
      <c r="F127" s="47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9.5" customHeight="1">
      <c r="A128" s="26"/>
      <c r="B128" s="26"/>
      <c r="C128" s="26"/>
      <c r="D128" s="26"/>
      <c r="E128" s="26"/>
      <c r="F128" s="47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9.5" customHeight="1">
      <c r="A129" s="26"/>
      <c r="B129" s="26"/>
      <c r="C129" s="26"/>
      <c r="D129" s="26"/>
      <c r="E129" s="26"/>
      <c r="F129" s="47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9.5" customHeight="1">
      <c r="A130" s="26"/>
      <c r="B130" s="26"/>
      <c r="C130" s="26"/>
      <c r="D130" s="26"/>
      <c r="E130" s="26"/>
      <c r="F130" s="47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9.5" customHeight="1">
      <c r="A131" s="26"/>
      <c r="B131" s="26"/>
      <c r="C131" s="26"/>
      <c r="D131" s="26"/>
      <c r="E131" s="26"/>
      <c r="F131" s="47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9.5" customHeight="1">
      <c r="A132" s="26"/>
      <c r="B132" s="26"/>
      <c r="C132" s="26"/>
      <c r="D132" s="26"/>
      <c r="E132" s="26"/>
      <c r="F132" s="47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9.5" customHeight="1">
      <c r="A133" s="26"/>
      <c r="B133" s="26"/>
      <c r="C133" s="26"/>
      <c r="D133" s="26"/>
      <c r="E133" s="26"/>
      <c r="F133" s="47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9.5" customHeight="1">
      <c r="A134" s="26"/>
      <c r="B134" s="26"/>
      <c r="C134" s="26"/>
      <c r="D134" s="26"/>
      <c r="E134" s="26"/>
      <c r="F134" s="47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9.5" customHeight="1">
      <c r="A135" s="26"/>
      <c r="B135" s="26"/>
      <c r="C135" s="26"/>
      <c r="D135" s="26"/>
      <c r="E135" s="26"/>
      <c r="F135" s="47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9.5" customHeight="1">
      <c r="A136" s="26"/>
      <c r="B136" s="26"/>
      <c r="C136" s="26"/>
      <c r="D136" s="26"/>
      <c r="E136" s="26"/>
      <c r="F136" s="47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9.5" customHeight="1">
      <c r="A137" s="26"/>
      <c r="B137" s="26"/>
      <c r="C137" s="26"/>
      <c r="D137" s="26"/>
      <c r="E137" s="26"/>
      <c r="F137" s="47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9.5" customHeight="1">
      <c r="A138" s="26"/>
      <c r="B138" s="26"/>
      <c r="C138" s="26"/>
      <c r="D138" s="26"/>
      <c r="E138" s="26"/>
      <c r="F138" s="47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9.5" customHeight="1">
      <c r="A139" s="26"/>
      <c r="B139" s="26"/>
      <c r="C139" s="26"/>
      <c r="D139" s="26"/>
      <c r="E139" s="26"/>
      <c r="F139" s="47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9.5" customHeight="1">
      <c r="A140" s="26"/>
      <c r="B140" s="26"/>
      <c r="C140" s="26"/>
      <c r="D140" s="26"/>
      <c r="E140" s="26"/>
      <c r="F140" s="47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9.5" customHeight="1">
      <c r="A141" s="26"/>
      <c r="B141" s="26"/>
      <c r="C141" s="26"/>
      <c r="D141" s="26"/>
      <c r="E141" s="26"/>
      <c r="F141" s="47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9.5" customHeight="1">
      <c r="A142" s="26"/>
      <c r="B142" s="26"/>
      <c r="C142" s="26"/>
      <c r="D142" s="26"/>
      <c r="E142" s="26"/>
      <c r="F142" s="47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9.5" customHeight="1">
      <c r="A143" s="26"/>
      <c r="B143" s="26"/>
      <c r="C143" s="26"/>
      <c r="D143" s="26"/>
      <c r="E143" s="26"/>
      <c r="F143" s="47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9.5" customHeight="1">
      <c r="A144" s="26"/>
      <c r="B144" s="26"/>
      <c r="C144" s="26"/>
      <c r="D144" s="26"/>
      <c r="E144" s="26"/>
      <c r="F144" s="47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9.5" customHeight="1">
      <c r="A145" s="26"/>
      <c r="B145" s="26"/>
      <c r="C145" s="26"/>
      <c r="D145" s="26"/>
      <c r="E145" s="26"/>
      <c r="F145" s="47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9.5" customHeight="1">
      <c r="A146" s="26"/>
      <c r="B146" s="26"/>
      <c r="C146" s="26"/>
      <c r="D146" s="26"/>
      <c r="E146" s="26"/>
      <c r="F146" s="47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9.5" customHeight="1">
      <c r="A147" s="26"/>
      <c r="B147" s="26"/>
      <c r="C147" s="26"/>
      <c r="D147" s="26"/>
      <c r="E147" s="26"/>
      <c r="F147" s="47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9.5" customHeight="1">
      <c r="A148" s="26"/>
      <c r="B148" s="26"/>
      <c r="C148" s="26"/>
      <c r="D148" s="26"/>
      <c r="E148" s="26"/>
      <c r="F148" s="47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9.5" customHeight="1">
      <c r="A149" s="26"/>
      <c r="B149" s="26"/>
      <c r="C149" s="26"/>
      <c r="D149" s="26"/>
      <c r="E149" s="26"/>
      <c r="F149" s="47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9.5" customHeight="1">
      <c r="A150" s="26"/>
      <c r="B150" s="26"/>
      <c r="C150" s="26"/>
      <c r="D150" s="26"/>
      <c r="E150" s="26"/>
      <c r="F150" s="47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9.5" customHeight="1">
      <c r="A151" s="26"/>
      <c r="B151" s="26"/>
      <c r="C151" s="26"/>
      <c r="D151" s="26"/>
      <c r="E151" s="26"/>
      <c r="F151" s="47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9.5" customHeight="1">
      <c r="A152" s="26"/>
      <c r="B152" s="26"/>
      <c r="C152" s="26"/>
      <c r="D152" s="26"/>
      <c r="E152" s="26"/>
      <c r="F152" s="47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9.5" customHeight="1">
      <c r="A153" s="26"/>
      <c r="B153" s="26"/>
      <c r="C153" s="26"/>
      <c r="D153" s="26"/>
      <c r="E153" s="26"/>
      <c r="F153" s="47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9.5" customHeight="1">
      <c r="A154" s="26"/>
      <c r="B154" s="26"/>
      <c r="C154" s="26"/>
      <c r="D154" s="26"/>
      <c r="E154" s="26"/>
      <c r="F154" s="47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9.5" customHeight="1">
      <c r="A155" s="26"/>
      <c r="B155" s="26"/>
      <c r="C155" s="26"/>
      <c r="D155" s="26"/>
      <c r="E155" s="26"/>
      <c r="F155" s="47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9.5" customHeight="1">
      <c r="A156" s="26"/>
      <c r="B156" s="26"/>
      <c r="C156" s="26"/>
      <c r="D156" s="26"/>
      <c r="E156" s="26"/>
      <c r="F156" s="47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9.5" customHeight="1">
      <c r="A157" s="26"/>
      <c r="B157" s="26"/>
      <c r="C157" s="26"/>
      <c r="D157" s="26"/>
      <c r="E157" s="26"/>
      <c r="F157" s="47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9.5" customHeight="1">
      <c r="A158" s="26"/>
      <c r="B158" s="26"/>
      <c r="C158" s="26"/>
      <c r="D158" s="26"/>
      <c r="E158" s="26"/>
      <c r="F158" s="47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9.5" customHeight="1">
      <c r="A159" s="26"/>
      <c r="B159" s="26"/>
      <c r="C159" s="26"/>
      <c r="D159" s="26"/>
      <c r="E159" s="26"/>
      <c r="F159" s="47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9.5" customHeight="1">
      <c r="A160" s="26"/>
      <c r="B160" s="26"/>
      <c r="C160" s="26"/>
      <c r="D160" s="26"/>
      <c r="E160" s="26"/>
      <c r="F160" s="47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9.5" customHeight="1">
      <c r="A161" s="26"/>
      <c r="B161" s="26"/>
      <c r="C161" s="26"/>
      <c r="D161" s="26"/>
      <c r="E161" s="26"/>
      <c r="F161" s="47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9.5" customHeight="1">
      <c r="A162" s="26"/>
      <c r="B162" s="26"/>
      <c r="C162" s="26"/>
      <c r="D162" s="26"/>
      <c r="E162" s="26"/>
      <c r="F162" s="47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9.5" customHeight="1">
      <c r="A163" s="26"/>
      <c r="B163" s="26"/>
      <c r="C163" s="26"/>
      <c r="D163" s="26"/>
      <c r="E163" s="26"/>
      <c r="F163" s="47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9.5" customHeight="1">
      <c r="A164" s="26"/>
      <c r="B164" s="26"/>
      <c r="C164" s="26"/>
      <c r="D164" s="26"/>
      <c r="E164" s="26"/>
      <c r="F164" s="47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9.5" customHeight="1">
      <c r="A165" s="26"/>
      <c r="B165" s="26"/>
      <c r="C165" s="26"/>
      <c r="D165" s="26"/>
      <c r="E165" s="26"/>
      <c r="F165" s="47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9.5" customHeight="1">
      <c r="A166" s="26"/>
      <c r="B166" s="26"/>
      <c r="C166" s="26"/>
      <c r="D166" s="26"/>
      <c r="E166" s="26"/>
      <c r="F166" s="47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9.5" customHeight="1">
      <c r="A167" s="26"/>
      <c r="B167" s="26"/>
      <c r="C167" s="26"/>
      <c r="D167" s="26"/>
      <c r="E167" s="26"/>
      <c r="F167" s="47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9.5" customHeight="1">
      <c r="A168" s="26"/>
      <c r="B168" s="26"/>
      <c r="C168" s="26"/>
      <c r="D168" s="26"/>
      <c r="E168" s="26"/>
      <c r="F168" s="47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9.5" customHeight="1">
      <c r="A169" s="26"/>
      <c r="B169" s="26"/>
      <c r="C169" s="26"/>
      <c r="D169" s="26"/>
      <c r="E169" s="26"/>
      <c r="F169" s="47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9.5" customHeight="1">
      <c r="A170" s="26"/>
      <c r="B170" s="26"/>
      <c r="C170" s="26"/>
      <c r="D170" s="26"/>
      <c r="E170" s="26"/>
      <c r="F170" s="47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9.5" customHeight="1">
      <c r="A171" s="26"/>
      <c r="B171" s="26"/>
      <c r="C171" s="26"/>
      <c r="D171" s="26"/>
      <c r="E171" s="26"/>
      <c r="F171" s="47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9.5" customHeight="1">
      <c r="A172" s="26"/>
      <c r="B172" s="26"/>
      <c r="C172" s="26"/>
      <c r="D172" s="26"/>
      <c r="E172" s="26"/>
      <c r="F172" s="47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9.5" customHeight="1">
      <c r="A173" s="26"/>
      <c r="B173" s="26"/>
      <c r="C173" s="26"/>
      <c r="D173" s="26"/>
      <c r="E173" s="26"/>
      <c r="F173" s="47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9.5" customHeight="1">
      <c r="A174" s="26"/>
      <c r="B174" s="26"/>
      <c r="C174" s="26"/>
      <c r="D174" s="26"/>
      <c r="E174" s="26"/>
      <c r="F174" s="47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9.5" customHeight="1">
      <c r="A175" s="26"/>
      <c r="B175" s="26"/>
      <c r="C175" s="26"/>
      <c r="D175" s="26"/>
      <c r="E175" s="26"/>
      <c r="F175" s="47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9.5" customHeight="1">
      <c r="A176" s="26"/>
      <c r="B176" s="26"/>
      <c r="C176" s="26"/>
      <c r="D176" s="26"/>
      <c r="E176" s="26"/>
      <c r="F176" s="47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9.5" customHeight="1">
      <c r="A177" s="26"/>
      <c r="B177" s="26"/>
      <c r="C177" s="26"/>
      <c r="D177" s="26"/>
      <c r="E177" s="26"/>
      <c r="F177" s="47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9.5" customHeight="1">
      <c r="A178" s="26"/>
      <c r="B178" s="26"/>
      <c r="C178" s="26"/>
      <c r="D178" s="26"/>
      <c r="E178" s="26"/>
      <c r="F178" s="47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9.5" customHeight="1">
      <c r="A179" s="26"/>
      <c r="B179" s="26"/>
      <c r="C179" s="26"/>
      <c r="D179" s="26"/>
      <c r="E179" s="26"/>
      <c r="F179" s="47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9.5" customHeight="1">
      <c r="A180" s="26"/>
      <c r="B180" s="26"/>
      <c r="C180" s="26"/>
      <c r="D180" s="26"/>
      <c r="E180" s="26"/>
      <c r="F180" s="47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9.5" customHeight="1">
      <c r="A181" s="26"/>
      <c r="B181" s="26"/>
      <c r="C181" s="26"/>
      <c r="D181" s="26"/>
      <c r="E181" s="26"/>
      <c r="F181" s="47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9.5" customHeight="1">
      <c r="A182" s="26"/>
      <c r="B182" s="26"/>
      <c r="C182" s="26"/>
      <c r="D182" s="26"/>
      <c r="E182" s="26"/>
      <c r="F182" s="47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9.5" customHeight="1">
      <c r="A183" s="26"/>
      <c r="B183" s="26"/>
      <c r="C183" s="26"/>
      <c r="D183" s="26"/>
      <c r="E183" s="26"/>
      <c r="F183" s="47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9.5" customHeight="1">
      <c r="A184" s="26"/>
      <c r="B184" s="26"/>
      <c r="C184" s="26"/>
      <c r="D184" s="26"/>
      <c r="E184" s="26"/>
      <c r="F184" s="47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9.5" customHeight="1">
      <c r="A185" s="26"/>
      <c r="B185" s="26"/>
      <c r="C185" s="26"/>
      <c r="D185" s="26"/>
      <c r="E185" s="26"/>
      <c r="F185" s="47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9.5" customHeight="1">
      <c r="A186" s="26"/>
      <c r="B186" s="26"/>
      <c r="C186" s="26"/>
      <c r="D186" s="26"/>
      <c r="E186" s="26"/>
      <c r="F186" s="47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9.5" customHeight="1">
      <c r="A187" s="26"/>
      <c r="B187" s="26"/>
      <c r="C187" s="26"/>
      <c r="D187" s="26"/>
      <c r="E187" s="26"/>
      <c r="F187" s="47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9.5" customHeight="1">
      <c r="A188" s="26"/>
      <c r="B188" s="26"/>
      <c r="C188" s="26"/>
      <c r="D188" s="26"/>
      <c r="E188" s="26"/>
      <c r="F188" s="47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9.5" customHeight="1">
      <c r="A189" s="26"/>
      <c r="B189" s="26"/>
      <c r="C189" s="26"/>
      <c r="D189" s="26"/>
      <c r="E189" s="26"/>
      <c r="F189" s="47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9.5" customHeight="1">
      <c r="A190" s="26"/>
      <c r="B190" s="26"/>
      <c r="C190" s="26"/>
      <c r="D190" s="26"/>
      <c r="E190" s="26"/>
      <c r="F190" s="47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9.5" customHeight="1">
      <c r="A191" s="26"/>
      <c r="B191" s="26"/>
      <c r="C191" s="26"/>
      <c r="D191" s="26"/>
      <c r="E191" s="26"/>
      <c r="F191" s="47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9.5" customHeight="1">
      <c r="A192" s="26"/>
      <c r="B192" s="26"/>
      <c r="C192" s="26"/>
      <c r="D192" s="26"/>
      <c r="E192" s="26"/>
      <c r="F192" s="47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9.5" customHeight="1">
      <c r="A193" s="26"/>
      <c r="B193" s="26"/>
      <c r="C193" s="26"/>
      <c r="D193" s="26"/>
      <c r="E193" s="26"/>
      <c r="F193" s="47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9.5" customHeight="1">
      <c r="A194" s="26"/>
      <c r="B194" s="26"/>
      <c r="C194" s="26"/>
      <c r="D194" s="26"/>
      <c r="E194" s="26"/>
      <c r="F194" s="47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9.5" customHeight="1">
      <c r="A195" s="26"/>
      <c r="B195" s="26"/>
      <c r="C195" s="26"/>
      <c r="D195" s="26"/>
      <c r="E195" s="26"/>
      <c r="F195" s="47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9.5" customHeight="1">
      <c r="A196" s="26"/>
      <c r="B196" s="26"/>
      <c r="C196" s="26"/>
      <c r="D196" s="26"/>
      <c r="E196" s="26"/>
      <c r="F196" s="47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9.5" customHeight="1">
      <c r="A197" s="26"/>
      <c r="B197" s="26"/>
      <c r="C197" s="26"/>
      <c r="D197" s="26"/>
      <c r="E197" s="26"/>
      <c r="F197" s="47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9.5" customHeight="1">
      <c r="A198" s="26"/>
      <c r="B198" s="26"/>
      <c r="C198" s="26"/>
      <c r="D198" s="26"/>
      <c r="E198" s="26"/>
      <c r="F198" s="47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9.5" customHeight="1">
      <c r="A199" s="26"/>
      <c r="B199" s="26"/>
      <c r="C199" s="26"/>
      <c r="D199" s="26"/>
      <c r="E199" s="26"/>
      <c r="F199" s="47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9.5" customHeight="1">
      <c r="A200" s="26"/>
      <c r="B200" s="26"/>
      <c r="C200" s="26"/>
      <c r="D200" s="26"/>
      <c r="E200" s="26"/>
      <c r="F200" s="47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9.5" customHeight="1">
      <c r="A201" s="26"/>
      <c r="B201" s="26"/>
      <c r="C201" s="26"/>
      <c r="D201" s="26"/>
      <c r="E201" s="26"/>
      <c r="F201" s="47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9.5" customHeight="1">
      <c r="A202" s="26"/>
      <c r="B202" s="26"/>
      <c r="C202" s="26"/>
      <c r="D202" s="26"/>
      <c r="E202" s="26"/>
      <c r="F202" s="47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9.5" customHeight="1">
      <c r="A203" s="26"/>
      <c r="B203" s="26"/>
      <c r="C203" s="26"/>
      <c r="D203" s="26"/>
      <c r="E203" s="26"/>
      <c r="F203" s="47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9.5" customHeight="1">
      <c r="A204" s="26"/>
      <c r="B204" s="26"/>
      <c r="C204" s="26"/>
      <c r="D204" s="26"/>
      <c r="E204" s="26"/>
      <c r="F204" s="47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9.5" customHeight="1">
      <c r="A205" s="26"/>
      <c r="B205" s="26"/>
      <c r="C205" s="26"/>
      <c r="D205" s="26"/>
      <c r="E205" s="26"/>
      <c r="F205" s="47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9.5" customHeight="1">
      <c r="A206" s="26"/>
      <c r="B206" s="26"/>
      <c r="C206" s="26"/>
      <c r="D206" s="26"/>
      <c r="E206" s="26"/>
      <c r="F206" s="47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9.5" customHeight="1">
      <c r="A207" s="26"/>
      <c r="B207" s="26"/>
      <c r="C207" s="26"/>
      <c r="D207" s="26"/>
      <c r="E207" s="26"/>
      <c r="F207" s="47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9.5" customHeight="1">
      <c r="A208" s="26"/>
      <c r="B208" s="26"/>
      <c r="C208" s="26"/>
      <c r="D208" s="26"/>
      <c r="E208" s="26"/>
      <c r="F208" s="47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9.5" customHeight="1">
      <c r="A209" s="26"/>
      <c r="B209" s="26"/>
      <c r="C209" s="26"/>
      <c r="D209" s="26"/>
      <c r="E209" s="26"/>
      <c r="F209" s="47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9.5" customHeight="1">
      <c r="A210" s="26"/>
      <c r="B210" s="26"/>
      <c r="C210" s="26"/>
      <c r="D210" s="26"/>
      <c r="E210" s="26"/>
      <c r="F210" s="47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9.5" customHeight="1">
      <c r="A211" s="26"/>
      <c r="B211" s="26"/>
      <c r="C211" s="26"/>
      <c r="D211" s="26"/>
      <c r="E211" s="26"/>
      <c r="F211" s="47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9.5" customHeight="1">
      <c r="A212" s="26"/>
      <c r="B212" s="26"/>
      <c r="C212" s="26"/>
      <c r="D212" s="26"/>
      <c r="E212" s="26"/>
      <c r="F212" s="47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9.5" customHeight="1">
      <c r="A213" s="26"/>
      <c r="B213" s="26"/>
      <c r="C213" s="26"/>
      <c r="D213" s="26"/>
      <c r="E213" s="26"/>
      <c r="F213" s="47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9.5" customHeight="1">
      <c r="A214" s="26"/>
      <c r="B214" s="26"/>
      <c r="C214" s="26"/>
      <c r="D214" s="26"/>
      <c r="E214" s="26"/>
      <c r="F214" s="47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9.5" customHeight="1">
      <c r="A215" s="26"/>
      <c r="B215" s="26"/>
      <c r="C215" s="26"/>
      <c r="D215" s="26"/>
      <c r="E215" s="26"/>
      <c r="F215" s="47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9.5" customHeight="1">
      <c r="A216" s="26"/>
      <c r="B216" s="26"/>
      <c r="C216" s="26"/>
      <c r="D216" s="26"/>
      <c r="E216" s="26"/>
      <c r="F216" s="47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9.5" customHeight="1">
      <c r="A217" s="26"/>
      <c r="B217" s="26"/>
      <c r="C217" s="26"/>
      <c r="D217" s="26"/>
      <c r="E217" s="26"/>
      <c r="F217" s="47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9.5" customHeight="1">
      <c r="A218" s="26"/>
      <c r="B218" s="26"/>
      <c r="C218" s="26"/>
      <c r="D218" s="26"/>
      <c r="E218" s="26"/>
      <c r="F218" s="47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9.5" customHeight="1">
      <c r="A219" s="26"/>
      <c r="B219" s="26"/>
      <c r="C219" s="26"/>
      <c r="D219" s="26"/>
      <c r="E219" s="26"/>
      <c r="F219" s="47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9.5" customHeight="1">
      <c r="A220" s="26"/>
      <c r="B220" s="26"/>
      <c r="C220" s="26"/>
      <c r="D220" s="26"/>
      <c r="E220" s="26"/>
      <c r="F220" s="47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9.5" customHeight="1">
      <c r="A221" s="26"/>
      <c r="B221" s="26"/>
      <c r="C221" s="26"/>
      <c r="D221" s="26"/>
      <c r="E221" s="26"/>
      <c r="F221" s="47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9.5" customHeight="1">
      <c r="A222" s="26"/>
      <c r="B222" s="26"/>
      <c r="C222" s="26"/>
      <c r="D222" s="26"/>
      <c r="E222" s="26"/>
      <c r="F222" s="47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9.5" customHeight="1">
      <c r="A223" s="26"/>
      <c r="B223" s="26"/>
      <c r="C223" s="26"/>
      <c r="D223" s="26"/>
      <c r="E223" s="26"/>
      <c r="F223" s="47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9.5" customHeight="1">
      <c r="A224" s="26"/>
      <c r="B224" s="26"/>
      <c r="C224" s="26"/>
      <c r="D224" s="26"/>
      <c r="E224" s="26"/>
      <c r="F224" s="47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9.5" customHeight="1">
      <c r="A225" s="26"/>
      <c r="B225" s="26"/>
      <c r="C225" s="26"/>
      <c r="D225" s="26"/>
      <c r="E225" s="26"/>
      <c r="F225" s="47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19.5" customHeight="1">
      <c r="A226" s="26"/>
      <c r="B226" s="26"/>
      <c r="C226" s="26"/>
      <c r="D226" s="26"/>
      <c r="E226" s="26"/>
      <c r="F226" s="47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19.5" customHeight="1">
      <c r="A227" s="26"/>
      <c r="B227" s="26"/>
      <c r="C227" s="26"/>
      <c r="D227" s="26"/>
      <c r="E227" s="26"/>
      <c r="F227" s="47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19.5" customHeight="1">
      <c r="A228" s="26"/>
      <c r="B228" s="26"/>
      <c r="C228" s="26"/>
      <c r="D228" s="26"/>
      <c r="E228" s="26"/>
      <c r="F228" s="47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19.5" customHeight="1">
      <c r="A229" s="26"/>
      <c r="B229" s="26"/>
      <c r="C229" s="26"/>
      <c r="D229" s="26"/>
      <c r="E229" s="26"/>
      <c r="F229" s="47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19.5" customHeight="1">
      <c r="A230" s="26"/>
      <c r="B230" s="26"/>
      <c r="C230" s="26"/>
      <c r="D230" s="26"/>
      <c r="E230" s="26"/>
      <c r="F230" s="47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19.5" customHeight="1">
      <c r="A231" s="26"/>
      <c r="B231" s="26"/>
      <c r="C231" s="26"/>
      <c r="D231" s="26"/>
      <c r="E231" s="26"/>
      <c r="F231" s="47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19.5" customHeight="1">
      <c r="A232" s="26"/>
      <c r="B232" s="26"/>
      <c r="C232" s="26"/>
      <c r="D232" s="26"/>
      <c r="E232" s="26"/>
      <c r="F232" s="47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19.5" customHeight="1">
      <c r="A233" s="26"/>
      <c r="B233" s="26"/>
      <c r="C233" s="26"/>
      <c r="D233" s="26"/>
      <c r="E233" s="26"/>
      <c r="F233" s="47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19.5" customHeight="1">
      <c r="A234" s="26"/>
      <c r="B234" s="26"/>
      <c r="C234" s="26"/>
      <c r="D234" s="26"/>
      <c r="E234" s="26"/>
      <c r="F234" s="47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19.5" customHeight="1">
      <c r="A235" s="26"/>
      <c r="B235" s="26"/>
      <c r="C235" s="26"/>
      <c r="D235" s="26"/>
      <c r="E235" s="26"/>
      <c r="F235" s="47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19.5" customHeight="1">
      <c r="A236" s="26"/>
      <c r="B236" s="26"/>
      <c r="C236" s="26"/>
      <c r="D236" s="26"/>
      <c r="E236" s="26"/>
      <c r="F236" s="47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19.5" customHeight="1">
      <c r="A237" s="26"/>
      <c r="B237" s="26"/>
      <c r="C237" s="26"/>
      <c r="D237" s="26"/>
      <c r="E237" s="26"/>
      <c r="F237" s="47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19.5" customHeight="1">
      <c r="A238" s="26"/>
      <c r="B238" s="26"/>
      <c r="C238" s="26"/>
      <c r="D238" s="26"/>
      <c r="E238" s="26"/>
      <c r="F238" s="47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19.5" customHeight="1">
      <c r="A239" s="26"/>
      <c r="B239" s="26"/>
      <c r="C239" s="26"/>
      <c r="D239" s="26"/>
      <c r="E239" s="26"/>
      <c r="F239" s="47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19.5" customHeight="1">
      <c r="A240" s="26"/>
      <c r="B240" s="26"/>
      <c r="C240" s="26"/>
      <c r="D240" s="26"/>
      <c r="E240" s="26"/>
      <c r="F240" s="47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19.5" customHeight="1">
      <c r="A241" s="26"/>
      <c r="B241" s="26"/>
      <c r="C241" s="26"/>
      <c r="D241" s="26"/>
      <c r="E241" s="26"/>
      <c r="F241" s="47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19.5" customHeight="1">
      <c r="A242" s="26"/>
      <c r="B242" s="26"/>
      <c r="C242" s="26"/>
      <c r="D242" s="26"/>
      <c r="E242" s="26"/>
      <c r="F242" s="47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9.5" customHeight="1">
      <c r="A243" s="26"/>
      <c r="B243" s="26"/>
      <c r="C243" s="26"/>
      <c r="D243" s="26"/>
      <c r="E243" s="26"/>
      <c r="F243" s="47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9.5" customHeight="1">
      <c r="A244" s="26"/>
      <c r="B244" s="26"/>
      <c r="C244" s="26"/>
      <c r="D244" s="26"/>
      <c r="E244" s="26"/>
      <c r="F244" s="47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9.5" customHeight="1">
      <c r="A245" s="26"/>
      <c r="B245" s="26"/>
      <c r="C245" s="26"/>
      <c r="D245" s="26"/>
      <c r="E245" s="26"/>
      <c r="F245" s="47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9.5" customHeight="1">
      <c r="A246" s="26"/>
      <c r="B246" s="26"/>
      <c r="C246" s="26"/>
      <c r="D246" s="26"/>
      <c r="E246" s="26"/>
      <c r="F246" s="47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9.5" customHeight="1">
      <c r="A247" s="26"/>
      <c r="B247" s="26"/>
      <c r="C247" s="26"/>
      <c r="D247" s="26"/>
      <c r="E247" s="26"/>
      <c r="F247" s="47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9.5" customHeight="1">
      <c r="A248" s="26"/>
      <c r="B248" s="26"/>
      <c r="C248" s="26"/>
      <c r="D248" s="26"/>
      <c r="E248" s="26"/>
      <c r="F248" s="47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9.5" customHeight="1">
      <c r="A249" s="26"/>
      <c r="B249" s="26"/>
      <c r="C249" s="26"/>
      <c r="D249" s="26"/>
      <c r="E249" s="26"/>
      <c r="F249" s="47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9.5" customHeight="1">
      <c r="A250" s="26"/>
      <c r="B250" s="26"/>
      <c r="C250" s="26"/>
      <c r="D250" s="26"/>
      <c r="E250" s="26"/>
      <c r="F250" s="47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9.5" customHeight="1">
      <c r="A251" s="26"/>
      <c r="B251" s="26"/>
      <c r="C251" s="26"/>
      <c r="D251" s="26"/>
      <c r="E251" s="26"/>
      <c r="F251" s="47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9.5" customHeight="1">
      <c r="A252" s="26"/>
      <c r="B252" s="26"/>
      <c r="C252" s="26"/>
      <c r="D252" s="26"/>
      <c r="E252" s="26"/>
      <c r="F252" s="47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9.5" customHeight="1">
      <c r="A253" s="26"/>
      <c r="B253" s="26"/>
      <c r="C253" s="26"/>
      <c r="D253" s="26"/>
      <c r="E253" s="26"/>
      <c r="F253" s="47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9.5" customHeight="1">
      <c r="A254" s="26"/>
      <c r="B254" s="26"/>
      <c r="C254" s="26"/>
      <c r="D254" s="26"/>
      <c r="E254" s="26"/>
      <c r="F254" s="47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9.5" customHeight="1">
      <c r="A255" s="26"/>
      <c r="B255" s="26"/>
      <c r="C255" s="26"/>
      <c r="D255" s="26"/>
      <c r="E255" s="26"/>
      <c r="F255" s="47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9.5" customHeight="1">
      <c r="A256" s="26"/>
      <c r="B256" s="26"/>
      <c r="C256" s="26"/>
      <c r="D256" s="26"/>
      <c r="E256" s="26"/>
      <c r="F256" s="47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9.5" customHeight="1">
      <c r="A257" s="26"/>
      <c r="B257" s="26"/>
      <c r="C257" s="26"/>
      <c r="D257" s="26"/>
      <c r="E257" s="26"/>
      <c r="F257" s="47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9.5" customHeight="1">
      <c r="A258" s="26"/>
      <c r="B258" s="26"/>
      <c r="C258" s="26"/>
      <c r="D258" s="26"/>
      <c r="E258" s="26"/>
      <c r="F258" s="47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9.5" customHeight="1">
      <c r="A259" s="26"/>
      <c r="B259" s="26"/>
      <c r="C259" s="26"/>
      <c r="D259" s="26"/>
      <c r="E259" s="26"/>
      <c r="F259" s="47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9.5" customHeight="1">
      <c r="A260" s="26"/>
      <c r="B260" s="26"/>
      <c r="C260" s="26"/>
      <c r="D260" s="26"/>
      <c r="E260" s="26"/>
      <c r="F260" s="47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9.5" customHeight="1">
      <c r="A261" s="26"/>
      <c r="B261" s="26"/>
      <c r="C261" s="26"/>
      <c r="D261" s="26"/>
      <c r="E261" s="26"/>
      <c r="F261" s="47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9.5" customHeight="1">
      <c r="A262" s="26"/>
      <c r="B262" s="26"/>
      <c r="C262" s="26"/>
      <c r="D262" s="26"/>
      <c r="E262" s="26"/>
      <c r="F262" s="47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19.5" customHeight="1">
      <c r="A263" s="26"/>
      <c r="B263" s="26"/>
      <c r="C263" s="26"/>
      <c r="D263" s="26"/>
      <c r="E263" s="26"/>
      <c r="F263" s="47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19.5" customHeight="1">
      <c r="A264" s="26"/>
      <c r="B264" s="26"/>
      <c r="C264" s="26"/>
      <c r="D264" s="26"/>
      <c r="E264" s="26"/>
      <c r="F264" s="47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19.5" customHeight="1">
      <c r="A265" s="26"/>
      <c r="B265" s="26"/>
      <c r="C265" s="26"/>
      <c r="D265" s="26"/>
      <c r="E265" s="26"/>
      <c r="F265" s="47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19.5" customHeight="1">
      <c r="A266" s="26"/>
      <c r="B266" s="26"/>
      <c r="C266" s="26"/>
      <c r="D266" s="26"/>
      <c r="E266" s="26"/>
      <c r="F266" s="47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19.5" customHeight="1">
      <c r="A267" s="26"/>
      <c r="B267" s="26"/>
      <c r="C267" s="26"/>
      <c r="D267" s="26"/>
      <c r="E267" s="26"/>
      <c r="F267" s="47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19.5" customHeight="1">
      <c r="A268" s="26"/>
      <c r="B268" s="26"/>
      <c r="C268" s="26"/>
      <c r="D268" s="26"/>
      <c r="E268" s="26"/>
      <c r="F268" s="47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19.5" customHeight="1">
      <c r="A269" s="26"/>
      <c r="B269" s="26"/>
      <c r="C269" s="26"/>
      <c r="D269" s="26"/>
      <c r="E269" s="26"/>
      <c r="F269" s="47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19.5" customHeight="1">
      <c r="A270" s="26"/>
      <c r="B270" s="26"/>
      <c r="C270" s="26"/>
      <c r="D270" s="26"/>
      <c r="E270" s="26"/>
      <c r="F270" s="47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9.5" customHeight="1">
      <c r="A271" s="26"/>
      <c r="B271" s="26"/>
      <c r="C271" s="26"/>
      <c r="D271" s="26"/>
      <c r="E271" s="26"/>
      <c r="F271" s="47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9.5" customHeight="1">
      <c r="A272" s="26"/>
      <c r="B272" s="26"/>
      <c r="C272" s="26"/>
      <c r="D272" s="26"/>
      <c r="E272" s="26"/>
      <c r="F272" s="47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9.5" customHeight="1">
      <c r="A273" s="26"/>
      <c r="B273" s="26"/>
      <c r="C273" s="26"/>
      <c r="D273" s="26"/>
      <c r="E273" s="26"/>
      <c r="F273" s="47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9.5" customHeight="1">
      <c r="A274" s="26"/>
      <c r="B274" s="26"/>
      <c r="C274" s="26"/>
      <c r="D274" s="26"/>
      <c r="E274" s="26"/>
      <c r="F274" s="47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9.5" customHeight="1">
      <c r="A275" s="26"/>
      <c r="B275" s="26"/>
      <c r="C275" s="26"/>
      <c r="D275" s="26"/>
      <c r="E275" s="26"/>
      <c r="F275" s="47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9.5" customHeight="1">
      <c r="A276" s="26"/>
      <c r="B276" s="26"/>
      <c r="C276" s="26"/>
      <c r="D276" s="26"/>
      <c r="E276" s="26"/>
      <c r="F276" s="47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9.5" customHeight="1">
      <c r="A277" s="26"/>
      <c r="B277" s="26"/>
      <c r="C277" s="26"/>
      <c r="D277" s="26"/>
      <c r="E277" s="26"/>
      <c r="F277" s="47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9.5" customHeight="1">
      <c r="A278" s="26"/>
      <c r="B278" s="26"/>
      <c r="C278" s="26"/>
      <c r="D278" s="26"/>
      <c r="E278" s="26"/>
      <c r="F278" s="47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9.5" customHeight="1">
      <c r="A279" s="26"/>
      <c r="B279" s="26"/>
      <c r="C279" s="26"/>
      <c r="D279" s="26"/>
      <c r="E279" s="26"/>
      <c r="F279" s="47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9.5" customHeight="1">
      <c r="A280" s="26"/>
      <c r="B280" s="26"/>
      <c r="C280" s="26"/>
      <c r="D280" s="26"/>
      <c r="E280" s="26"/>
      <c r="F280" s="47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9.5" customHeight="1">
      <c r="A281" s="26"/>
      <c r="B281" s="26"/>
      <c r="C281" s="26"/>
      <c r="D281" s="26"/>
      <c r="E281" s="26"/>
      <c r="F281" s="47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9.5" customHeight="1">
      <c r="A282" s="26"/>
      <c r="B282" s="26"/>
      <c r="C282" s="26"/>
      <c r="D282" s="26"/>
      <c r="E282" s="26"/>
      <c r="F282" s="47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9.5" customHeight="1">
      <c r="A283" s="26"/>
      <c r="B283" s="26"/>
      <c r="C283" s="26"/>
      <c r="D283" s="26"/>
      <c r="E283" s="26"/>
      <c r="F283" s="47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9.5" customHeight="1">
      <c r="A284" s="26"/>
      <c r="B284" s="26"/>
      <c r="C284" s="26"/>
      <c r="D284" s="26"/>
      <c r="E284" s="26"/>
      <c r="F284" s="47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9.5" customHeight="1">
      <c r="A285" s="26"/>
      <c r="B285" s="26"/>
      <c r="C285" s="26"/>
      <c r="D285" s="26"/>
      <c r="E285" s="26"/>
      <c r="F285" s="47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9.5" customHeight="1">
      <c r="A286" s="26"/>
      <c r="B286" s="26"/>
      <c r="C286" s="26"/>
      <c r="D286" s="26"/>
      <c r="E286" s="26"/>
      <c r="F286" s="4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9.5" customHeight="1">
      <c r="A287" s="26"/>
      <c r="B287" s="26"/>
      <c r="C287" s="26"/>
      <c r="D287" s="26"/>
      <c r="E287" s="26"/>
      <c r="F287" s="47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9.5" customHeight="1">
      <c r="A288" s="26"/>
      <c r="B288" s="26"/>
      <c r="C288" s="26"/>
      <c r="D288" s="26"/>
      <c r="E288" s="26"/>
      <c r="F288" s="47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9.5" customHeight="1">
      <c r="A289" s="26"/>
      <c r="B289" s="26"/>
      <c r="C289" s="26"/>
      <c r="D289" s="26"/>
      <c r="E289" s="26"/>
      <c r="F289" s="47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9.5" customHeight="1">
      <c r="A290" s="26"/>
      <c r="B290" s="26"/>
      <c r="C290" s="26"/>
      <c r="D290" s="26"/>
      <c r="E290" s="26"/>
      <c r="F290" s="47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9.5" customHeight="1">
      <c r="A291" s="26"/>
      <c r="B291" s="26"/>
      <c r="C291" s="26"/>
      <c r="D291" s="26"/>
      <c r="E291" s="26"/>
      <c r="F291" s="47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19.5" customHeight="1">
      <c r="A292" s="26"/>
      <c r="B292" s="26"/>
      <c r="C292" s="26"/>
      <c r="D292" s="26"/>
      <c r="E292" s="26"/>
      <c r="F292" s="47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19.5" customHeight="1">
      <c r="A293" s="26"/>
      <c r="B293" s="26"/>
      <c r="C293" s="26"/>
      <c r="D293" s="26"/>
      <c r="E293" s="26"/>
      <c r="F293" s="47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19.5" customHeight="1">
      <c r="A294" s="26"/>
      <c r="B294" s="26"/>
      <c r="C294" s="26"/>
      <c r="D294" s="26"/>
      <c r="E294" s="26"/>
      <c r="F294" s="47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19.5" customHeight="1">
      <c r="A295" s="26"/>
      <c r="B295" s="26"/>
      <c r="C295" s="26"/>
      <c r="D295" s="26"/>
      <c r="E295" s="26"/>
      <c r="F295" s="47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19.5" customHeight="1">
      <c r="A296" s="26"/>
      <c r="B296" s="26"/>
      <c r="C296" s="26"/>
      <c r="D296" s="26"/>
      <c r="E296" s="26"/>
      <c r="F296" s="47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19.5" customHeight="1">
      <c r="A297" s="26"/>
      <c r="B297" s="26"/>
      <c r="C297" s="26"/>
      <c r="D297" s="26"/>
      <c r="E297" s="26"/>
      <c r="F297" s="47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19.5" customHeight="1">
      <c r="A298" s="26"/>
      <c r="B298" s="26"/>
      <c r="C298" s="26"/>
      <c r="D298" s="26"/>
      <c r="E298" s="26"/>
      <c r="F298" s="47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19.5" customHeight="1">
      <c r="A299" s="26"/>
      <c r="B299" s="26"/>
      <c r="C299" s="26"/>
      <c r="D299" s="26"/>
      <c r="E299" s="26"/>
      <c r="F299" s="47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19.5" customHeight="1">
      <c r="A300" s="26"/>
      <c r="B300" s="26"/>
      <c r="C300" s="26"/>
      <c r="D300" s="26"/>
      <c r="E300" s="26"/>
      <c r="F300" s="47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15.75" customHeight="1">
      <c r="A548" s="8"/>
      <c r="B548" s="8"/>
      <c r="C548" s="8"/>
      <c r="D548" s="8"/>
      <c r="E548" s="8"/>
      <c r="F548" s="11"/>
      <c r="G548" s="8"/>
      <c r="H548" s="69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11"/>
      <c r="G549" s="8"/>
      <c r="H549" s="69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11"/>
      <c r="G550" s="8"/>
      <c r="H550" s="69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11"/>
      <c r="G551" s="8"/>
      <c r="H551" s="69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11"/>
      <c r="G552" s="8"/>
      <c r="H552" s="69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11"/>
      <c r="G553" s="8"/>
      <c r="H553" s="69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11"/>
      <c r="G554" s="8"/>
      <c r="H554" s="69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11"/>
      <c r="G555" s="8"/>
      <c r="H555" s="69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11"/>
      <c r="G556" s="8"/>
      <c r="H556" s="69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11"/>
      <c r="G557" s="8"/>
      <c r="H557" s="69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11"/>
      <c r="G558" s="8"/>
      <c r="H558" s="69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11"/>
      <c r="G559" s="8"/>
      <c r="H559" s="69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11"/>
      <c r="G560" s="8"/>
      <c r="H560" s="69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11"/>
      <c r="G561" s="8"/>
      <c r="H561" s="69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11"/>
      <c r="G562" s="8"/>
      <c r="H562" s="69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11"/>
      <c r="G563" s="8"/>
      <c r="H563" s="69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11"/>
      <c r="G564" s="8"/>
      <c r="H564" s="69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11"/>
      <c r="G565" s="8"/>
      <c r="H565" s="69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11"/>
      <c r="G566" s="8"/>
      <c r="H566" s="69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11"/>
      <c r="G567" s="8"/>
      <c r="H567" s="69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11"/>
      <c r="G568" s="8"/>
      <c r="H568" s="69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11"/>
      <c r="G569" s="8"/>
      <c r="H569" s="69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11"/>
      <c r="G570" s="8"/>
      <c r="H570" s="69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11"/>
      <c r="G571" s="8"/>
      <c r="H571" s="69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11"/>
      <c r="G572" s="8"/>
      <c r="H572" s="69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11"/>
      <c r="G573" s="8"/>
      <c r="H573" s="69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11"/>
      <c r="G574" s="8"/>
      <c r="H574" s="69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11"/>
      <c r="G575" s="8"/>
      <c r="H575" s="69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11"/>
      <c r="G576" s="8"/>
      <c r="H576" s="69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11"/>
      <c r="G577" s="8"/>
      <c r="H577" s="69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11"/>
      <c r="G578" s="8"/>
      <c r="H578" s="69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11"/>
      <c r="G579" s="8"/>
      <c r="H579" s="69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11"/>
      <c r="G580" s="8"/>
      <c r="H580" s="69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11"/>
      <c r="G581" s="8"/>
      <c r="H581" s="69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11"/>
      <c r="G582" s="8"/>
      <c r="H582" s="69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11"/>
      <c r="G583" s="8"/>
      <c r="H583" s="69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11"/>
      <c r="G584" s="8"/>
      <c r="H584" s="69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11"/>
      <c r="G585" s="8"/>
      <c r="H585" s="69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11"/>
      <c r="G586" s="8"/>
      <c r="H586" s="69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11"/>
      <c r="G587" s="8"/>
      <c r="H587" s="69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11"/>
      <c r="G588" s="8"/>
      <c r="H588" s="69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11"/>
      <c r="G589" s="8"/>
      <c r="H589" s="69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11"/>
      <c r="G590" s="8"/>
      <c r="H590" s="69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11"/>
      <c r="G591" s="8"/>
      <c r="H591" s="69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11"/>
      <c r="G592" s="8"/>
      <c r="H592" s="69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11"/>
      <c r="G593" s="8"/>
      <c r="H593" s="69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11"/>
      <c r="G594" s="8"/>
      <c r="H594" s="69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11"/>
      <c r="G595" s="8"/>
      <c r="H595" s="69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11"/>
      <c r="G596" s="8"/>
      <c r="H596" s="69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11"/>
      <c r="G597" s="8"/>
      <c r="H597" s="69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11"/>
      <c r="G598" s="8"/>
      <c r="H598" s="69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11"/>
      <c r="G599" s="8"/>
      <c r="H599" s="69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11"/>
      <c r="G600" s="8"/>
      <c r="H600" s="69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11"/>
      <c r="G601" s="8"/>
      <c r="H601" s="69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11"/>
      <c r="G602" s="8"/>
      <c r="H602" s="69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11"/>
      <c r="G603" s="8"/>
      <c r="H603" s="69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11"/>
      <c r="G604" s="8"/>
      <c r="H604" s="69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11"/>
      <c r="G605" s="8"/>
      <c r="H605" s="69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11"/>
      <c r="G606" s="8"/>
      <c r="H606" s="69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11"/>
      <c r="G607" s="8"/>
      <c r="H607" s="69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11"/>
      <c r="G608" s="8"/>
      <c r="H608" s="69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11"/>
      <c r="G609" s="8"/>
      <c r="H609" s="69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11"/>
      <c r="G610" s="8"/>
      <c r="H610" s="69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11"/>
      <c r="G611" s="8"/>
      <c r="H611" s="69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11"/>
      <c r="G612" s="8"/>
      <c r="H612" s="69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11"/>
      <c r="G613" s="8"/>
      <c r="H613" s="69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11"/>
      <c r="G614" s="8"/>
      <c r="H614" s="69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11"/>
      <c r="G615" s="8"/>
      <c r="H615" s="69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11"/>
      <c r="G616" s="8"/>
      <c r="H616" s="69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11"/>
      <c r="G617" s="8"/>
      <c r="H617" s="69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11"/>
      <c r="G618" s="8"/>
      <c r="H618" s="69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11"/>
      <c r="G619" s="8"/>
      <c r="H619" s="69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11"/>
      <c r="G620" s="8"/>
      <c r="H620" s="69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11"/>
      <c r="G621" s="8"/>
      <c r="H621" s="69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11"/>
      <c r="G622" s="8"/>
      <c r="H622" s="69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11"/>
      <c r="G623" s="8"/>
      <c r="H623" s="69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11"/>
      <c r="G624" s="8"/>
      <c r="H624" s="69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11"/>
      <c r="G625" s="8"/>
      <c r="H625" s="69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11"/>
      <c r="G626" s="8"/>
      <c r="H626" s="69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11"/>
      <c r="G627" s="8"/>
      <c r="H627" s="69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11"/>
      <c r="G628" s="8"/>
      <c r="H628" s="69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11"/>
      <c r="G629" s="8"/>
      <c r="H629" s="69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11"/>
      <c r="G630" s="8"/>
      <c r="H630" s="69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11"/>
      <c r="G631" s="8"/>
      <c r="H631" s="69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11"/>
      <c r="G632" s="8"/>
      <c r="H632" s="69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11"/>
      <c r="G633" s="8"/>
      <c r="H633" s="69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11"/>
      <c r="G634" s="8"/>
      <c r="H634" s="69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11"/>
      <c r="G635" s="8"/>
      <c r="H635" s="69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11"/>
      <c r="G636" s="8"/>
      <c r="H636" s="69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11"/>
      <c r="G637" s="8"/>
      <c r="H637" s="69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11"/>
      <c r="G638" s="8"/>
      <c r="H638" s="69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11"/>
      <c r="G639" s="8"/>
      <c r="H639" s="69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11"/>
      <c r="G640" s="8"/>
      <c r="H640" s="69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11"/>
      <c r="G641" s="8"/>
      <c r="H641" s="69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11"/>
      <c r="G642" s="8"/>
      <c r="H642" s="69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11"/>
      <c r="G643" s="8"/>
      <c r="H643" s="69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11"/>
      <c r="G644" s="8"/>
      <c r="H644" s="69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11"/>
      <c r="G645" s="8"/>
      <c r="H645" s="69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11"/>
      <c r="G646" s="8"/>
      <c r="H646" s="69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11"/>
      <c r="G647" s="8"/>
      <c r="H647" s="69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11"/>
      <c r="G648" s="8"/>
      <c r="H648" s="69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11"/>
      <c r="G649" s="8"/>
      <c r="H649" s="69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11"/>
      <c r="G650" s="8"/>
      <c r="H650" s="69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11"/>
      <c r="G651" s="8"/>
      <c r="H651" s="69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11"/>
      <c r="G652" s="8"/>
      <c r="H652" s="69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11"/>
      <c r="G653" s="8"/>
      <c r="H653" s="69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11"/>
      <c r="G654" s="8"/>
      <c r="H654" s="69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11"/>
      <c r="G655" s="8"/>
      <c r="H655" s="69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11"/>
      <c r="G656" s="8"/>
      <c r="H656" s="69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11"/>
      <c r="G657" s="8"/>
      <c r="H657" s="69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11"/>
      <c r="G658" s="8"/>
      <c r="H658" s="69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11"/>
      <c r="G659" s="8"/>
      <c r="H659" s="69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11"/>
      <c r="G660" s="8"/>
      <c r="H660" s="69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11"/>
      <c r="G661" s="8"/>
      <c r="H661" s="69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11"/>
      <c r="G662" s="8"/>
      <c r="H662" s="69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11"/>
      <c r="G663" s="8"/>
      <c r="H663" s="69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11"/>
      <c r="G664" s="8"/>
      <c r="H664" s="69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11"/>
      <c r="G665" s="8"/>
      <c r="H665" s="69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11"/>
      <c r="G666" s="8"/>
      <c r="H666" s="69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11"/>
      <c r="G667" s="8"/>
      <c r="H667" s="69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11"/>
      <c r="G668" s="8"/>
      <c r="H668" s="69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11"/>
      <c r="G669" s="8"/>
      <c r="H669" s="69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11"/>
      <c r="G670" s="8"/>
      <c r="H670" s="69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11"/>
      <c r="G671" s="8"/>
      <c r="H671" s="69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11"/>
      <c r="G672" s="8"/>
      <c r="H672" s="69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11"/>
      <c r="G673" s="8"/>
      <c r="H673" s="69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11"/>
      <c r="G674" s="8"/>
      <c r="H674" s="69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11"/>
      <c r="G675" s="8"/>
      <c r="H675" s="69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11"/>
      <c r="G676" s="8"/>
      <c r="H676" s="69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11"/>
      <c r="G677" s="8"/>
      <c r="H677" s="69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11"/>
      <c r="G678" s="8"/>
      <c r="H678" s="69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11"/>
      <c r="G679" s="8"/>
      <c r="H679" s="69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11"/>
      <c r="G680" s="8"/>
      <c r="H680" s="69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11"/>
      <c r="G681" s="8"/>
      <c r="H681" s="69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11"/>
      <c r="G682" s="8"/>
      <c r="H682" s="69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11"/>
      <c r="G683" s="8"/>
      <c r="H683" s="69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11"/>
      <c r="G684" s="8"/>
      <c r="H684" s="69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11"/>
      <c r="G685" s="8"/>
      <c r="H685" s="69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11"/>
      <c r="G686" s="8"/>
      <c r="H686" s="69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11"/>
      <c r="G687" s="8"/>
      <c r="H687" s="69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11"/>
      <c r="G688" s="8"/>
      <c r="H688" s="69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11"/>
      <c r="G689" s="8"/>
      <c r="H689" s="69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11"/>
      <c r="G690" s="8"/>
      <c r="H690" s="69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11"/>
      <c r="G691" s="8"/>
      <c r="H691" s="69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11"/>
      <c r="G692" s="8"/>
      <c r="H692" s="69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11"/>
      <c r="G693" s="8"/>
      <c r="H693" s="69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11"/>
      <c r="G694" s="8"/>
      <c r="H694" s="69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11"/>
      <c r="G695" s="8"/>
      <c r="H695" s="69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11"/>
      <c r="G696" s="8"/>
      <c r="H696" s="69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11"/>
      <c r="G697" s="8"/>
      <c r="H697" s="69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11"/>
      <c r="G698" s="8"/>
      <c r="H698" s="69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11"/>
      <c r="G699" s="8"/>
      <c r="H699" s="69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11"/>
      <c r="G700" s="8"/>
      <c r="H700" s="69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11"/>
      <c r="G701" s="8"/>
      <c r="H701" s="69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11"/>
      <c r="G702" s="8"/>
      <c r="H702" s="69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11"/>
      <c r="G703" s="8"/>
      <c r="H703" s="69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11"/>
      <c r="G704" s="8"/>
      <c r="H704" s="69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11"/>
      <c r="G705" s="8"/>
      <c r="H705" s="69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11"/>
      <c r="G706" s="8"/>
      <c r="H706" s="69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11"/>
      <c r="G707" s="8"/>
      <c r="H707" s="69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11"/>
      <c r="G708" s="8"/>
      <c r="H708" s="69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11"/>
      <c r="G709" s="8"/>
      <c r="H709" s="69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11"/>
      <c r="G710" s="8"/>
      <c r="H710" s="69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11"/>
      <c r="G711" s="8"/>
      <c r="H711" s="69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11"/>
      <c r="G712" s="8"/>
      <c r="H712" s="69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11"/>
      <c r="G713" s="8"/>
      <c r="H713" s="69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11"/>
      <c r="G714" s="8"/>
      <c r="H714" s="69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11"/>
      <c r="G715" s="8"/>
      <c r="H715" s="69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11"/>
      <c r="G716" s="8"/>
      <c r="H716" s="69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11"/>
      <c r="G717" s="8"/>
      <c r="H717" s="69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11"/>
      <c r="G718" s="8"/>
      <c r="H718" s="69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11"/>
      <c r="G719" s="8"/>
      <c r="H719" s="69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11"/>
      <c r="G720" s="8"/>
      <c r="H720" s="69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11"/>
      <c r="G721" s="8"/>
      <c r="H721" s="69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11"/>
      <c r="G722" s="8"/>
      <c r="H722" s="69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11"/>
      <c r="G723" s="8"/>
      <c r="H723" s="69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11"/>
      <c r="G724" s="8"/>
      <c r="H724" s="69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11"/>
      <c r="G725" s="8"/>
      <c r="H725" s="69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11"/>
      <c r="G726" s="8"/>
      <c r="H726" s="69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11"/>
      <c r="G727" s="8"/>
      <c r="H727" s="69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11"/>
      <c r="G728" s="8"/>
      <c r="H728" s="69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11"/>
      <c r="G729" s="8"/>
      <c r="H729" s="69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11"/>
      <c r="G730" s="8"/>
      <c r="H730" s="69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11"/>
      <c r="G731" s="8"/>
      <c r="H731" s="69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11"/>
      <c r="G732" s="8"/>
      <c r="H732" s="69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11"/>
      <c r="G733" s="8"/>
      <c r="H733" s="69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11"/>
      <c r="G734" s="8"/>
      <c r="H734" s="69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11"/>
      <c r="G735" s="8"/>
      <c r="H735" s="69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11"/>
      <c r="G736" s="8"/>
      <c r="H736" s="69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11"/>
      <c r="G737" s="8"/>
      <c r="H737" s="69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11"/>
      <c r="G738" s="8"/>
      <c r="H738" s="69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11"/>
      <c r="G739" s="8"/>
      <c r="H739" s="69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11"/>
      <c r="G740" s="8"/>
      <c r="H740" s="69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11"/>
      <c r="G741" s="8"/>
      <c r="H741" s="69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11"/>
      <c r="G742" s="8"/>
      <c r="H742" s="69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11"/>
      <c r="G743" s="8"/>
      <c r="H743" s="69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11"/>
      <c r="G744" s="8"/>
      <c r="H744" s="69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11"/>
      <c r="G745" s="8"/>
      <c r="H745" s="69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11"/>
      <c r="G746" s="8"/>
      <c r="H746" s="69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11"/>
      <c r="G747" s="8"/>
      <c r="H747" s="69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11"/>
      <c r="G748" s="8"/>
      <c r="H748" s="69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11"/>
      <c r="G749" s="8"/>
      <c r="H749" s="69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11"/>
      <c r="G750" s="8"/>
      <c r="H750" s="69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11"/>
      <c r="G751" s="8"/>
      <c r="H751" s="69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11"/>
      <c r="G752" s="8"/>
      <c r="H752" s="69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11"/>
      <c r="G753" s="8"/>
      <c r="H753" s="69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11"/>
      <c r="G754" s="8"/>
      <c r="H754" s="69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11"/>
      <c r="G755" s="8"/>
      <c r="H755" s="69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11"/>
      <c r="G756" s="8"/>
      <c r="H756" s="69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11"/>
      <c r="G757" s="8"/>
      <c r="H757" s="69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11"/>
      <c r="G758" s="8"/>
      <c r="H758" s="69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11"/>
      <c r="G759" s="8"/>
      <c r="H759" s="69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11"/>
      <c r="G760" s="8"/>
      <c r="H760" s="69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11"/>
      <c r="G761" s="8"/>
      <c r="H761" s="69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11"/>
      <c r="G762" s="8"/>
      <c r="H762" s="69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11"/>
      <c r="G763" s="8"/>
      <c r="H763" s="69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11"/>
      <c r="G764" s="8"/>
      <c r="H764" s="69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11"/>
      <c r="G765" s="8"/>
      <c r="H765" s="69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11"/>
      <c r="G766" s="8"/>
      <c r="H766" s="69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11"/>
      <c r="G767" s="8"/>
      <c r="H767" s="69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11"/>
      <c r="G768" s="8"/>
      <c r="H768" s="69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11"/>
      <c r="G769" s="8"/>
      <c r="H769" s="69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11"/>
      <c r="G770" s="8"/>
      <c r="H770" s="69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11"/>
      <c r="G771" s="8"/>
      <c r="H771" s="69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11"/>
      <c r="G772" s="8"/>
      <c r="H772" s="69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11"/>
      <c r="G773" s="8"/>
      <c r="H773" s="69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11"/>
      <c r="G774" s="8"/>
      <c r="H774" s="69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11"/>
      <c r="G775" s="8"/>
      <c r="H775" s="69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11"/>
      <c r="G776" s="8"/>
      <c r="H776" s="69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11"/>
      <c r="G777" s="8"/>
      <c r="H777" s="69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11"/>
      <c r="G778" s="8"/>
      <c r="H778" s="69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11"/>
      <c r="G779" s="8"/>
      <c r="H779" s="69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11"/>
      <c r="G780" s="8"/>
      <c r="H780" s="69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11"/>
      <c r="G781" s="8"/>
      <c r="H781" s="69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11"/>
      <c r="G782" s="8"/>
      <c r="H782" s="69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11"/>
      <c r="G783" s="8"/>
      <c r="H783" s="69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11"/>
      <c r="G784" s="8"/>
      <c r="H784" s="69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11"/>
      <c r="G785" s="8"/>
      <c r="H785" s="69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11"/>
      <c r="G786" s="8"/>
      <c r="H786" s="69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11"/>
      <c r="G787" s="8"/>
      <c r="H787" s="69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11"/>
      <c r="G788" s="8"/>
      <c r="H788" s="69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11"/>
      <c r="G789" s="8"/>
      <c r="H789" s="69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11"/>
      <c r="G790" s="8"/>
      <c r="H790" s="69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11"/>
      <c r="G791" s="8"/>
      <c r="H791" s="69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11"/>
      <c r="G792" s="8"/>
      <c r="H792" s="69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11"/>
      <c r="G793" s="8"/>
      <c r="H793" s="69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11"/>
      <c r="G794" s="8"/>
      <c r="H794" s="69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11"/>
      <c r="G795" s="8"/>
      <c r="H795" s="69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11"/>
      <c r="G796" s="8"/>
      <c r="H796" s="69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11"/>
      <c r="G797" s="8"/>
      <c r="H797" s="69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11"/>
      <c r="G798" s="8"/>
      <c r="H798" s="69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11"/>
      <c r="G799" s="8"/>
      <c r="H799" s="69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11"/>
      <c r="G800" s="8"/>
      <c r="H800" s="69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11"/>
      <c r="G801" s="8"/>
      <c r="H801" s="69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11"/>
      <c r="G802" s="8"/>
      <c r="H802" s="69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11"/>
      <c r="G803" s="8"/>
      <c r="H803" s="69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11"/>
      <c r="G804" s="8"/>
      <c r="H804" s="69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11"/>
      <c r="G805" s="8"/>
      <c r="H805" s="69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11"/>
      <c r="G806" s="8"/>
      <c r="H806" s="69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11"/>
      <c r="G807" s="8"/>
      <c r="H807" s="69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11"/>
      <c r="G808" s="8"/>
      <c r="H808" s="69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11"/>
      <c r="G809" s="8"/>
      <c r="H809" s="69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11"/>
      <c r="G810" s="8"/>
      <c r="H810" s="69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11"/>
      <c r="G811" s="8"/>
      <c r="H811" s="69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11"/>
      <c r="G812" s="8"/>
      <c r="H812" s="69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11"/>
      <c r="G813" s="8"/>
      <c r="H813" s="69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11"/>
      <c r="G814" s="8"/>
      <c r="H814" s="69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11"/>
      <c r="G815" s="8"/>
      <c r="H815" s="69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11"/>
      <c r="G816" s="8"/>
      <c r="H816" s="69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11"/>
      <c r="G817" s="8"/>
      <c r="H817" s="69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11"/>
      <c r="G818" s="8"/>
      <c r="H818" s="69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11"/>
      <c r="G819" s="8"/>
      <c r="H819" s="69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11"/>
      <c r="G820" s="8"/>
      <c r="H820" s="69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11"/>
      <c r="G821" s="8"/>
      <c r="H821" s="69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11"/>
      <c r="G822" s="8"/>
      <c r="H822" s="69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11"/>
      <c r="G823" s="8"/>
      <c r="H823" s="69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11"/>
      <c r="G824" s="8"/>
      <c r="H824" s="69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11"/>
      <c r="G825" s="8"/>
      <c r="H825" s="69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11"/>
      <c r="G826" s="8"/>
      <c r="H826" s="69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11"/>
      <c r="G827" s="8"/>
      <c r="H827" s="69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11"/>
      <c r="G828" s="8"/>
      <c r="H828" s="69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11"/>
      <c r="G829" s="8"/>
      <c r="H829" s="69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11"/>
      <c r="G830" s="8"/>
      <c r="H830" s="69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11"/>
      <c r="G831" s="8"/>
      <c r="H831" s="69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11"/>
      <c r="G832" s="8"/>
      <c r="H832" s="69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11"/>
      <c r="G833" s="8"/>
      <c r="H833" s="69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11"/>
      <c r="G834" s="8"/>
      <c r="H834" s="69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11"/>
      <c r="G835" s="8"/>
      <c r="H835" s="69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11"/>
      <c r="G836" s="8"/>
      <c r="H836" s="69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11"/>
      <c r="G837" s="8"/>
      <c r="H837" s="69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11"/>
      <c r="G838" s="8"/>
      <c r="H838" s="69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11"/>
      <c r="G839" s="8"/>
      <c r="H839" s="69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11"/>
      <c r="G840" s="8"/>
      <c r="H840" s="69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11"/>
      <c r="G841" s="8"/>
      <c r="H841" s="69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11"/>
      <c r="G842" s="8"/>
      <c r="H842" s="69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11"/>
      <c r="G843" s="8"/>
      <c r="H843" s="69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11"/>
      <c r="G844" s="8"/>
      <c r="H844" s="69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11"/>
      <c r="G845" s="8"/>
      <c r="H845" s="69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11"/>
      <c r="G846" s="8"/>
      <c r="H846" s="69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11"/>
      <c r="G847" s="8"/>
      <c r="H847" s="69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11"/>
      <c r="G848" s="8"/>
      <c r="H848" s="69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11"/>
      <c r="G849" s="8"/>
      <c r="H849" s="69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11"/>
      <c r="G850" s="8"/>
      <c r="H850" s="69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11"/>
      <c r="G851" s="8"/>
      <c r="H851" s="69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11"/>
      <c r="G852" s="8"/>
      <c r="H852" s="69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11"/>
      <c r="G853" s="8"/>
      <c r="H853" s="69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11"/>
      <c r="G854" s="8"/>
      <c r="H854" s="69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11"/>
      <c r="G855" s="8"/>
      <c r="H855" s="69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11"/>
      <c r="G856" s="8"/>
      <c r="H856" s="69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11"/>
      <c r="G857" s="8"/>
      <c r="H857" s="69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11"/>
      <c r="G858" s="8"/>
      <c r="H858" s="69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11"/>
      <c r="G859" s="8"/>
      <c r="H859" s="69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11"/>
      <c r="G860" s="8"/>
      <c r="H860" s="69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11"/>
      <c r="G861" s="8"/>
      <c r="H861" s="69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11"/>
      <c r="G862" s="8"/>
      <c r="H862" s="69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11"/>
      <c r="G863" s="8"/>
      <c r="H863" s="69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11"/>
      <c r="G864" s="8"/>
      <c r="H864" s="69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11"/>
      <c r="G865" s="8"/>
      <c r="H865" s="69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11"/>
      <c r="G866" s="8"/>
      <c r="H866" s="69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11"/>
      <c r="G867" s="8"/>
      <c r="H867" s="69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11"/>
      <c r="G868" s="8"/>
      <c r="H868" s="69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11"/>
      <c r="G869" s="8"/>
      <c r="H869" s="69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11"/>
      <c r="G870" s="8"/>
      <c r="H870" s="69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11"/>
      <c r="G871" s="8"/>
      <c r="H871" s="69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11"/>
      <c r="G872" s="8"/>
      <c r="H872" s="69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11"/>
      <c r="G873" s="8"/>
      <c r="H873" s="69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11"/>
      <c r="G874" s="8"/>
      <c r="H874" s="69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11"/>
      <c r="G875" s="8"/>
      <c r="H875" s="69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11"/>
      <c r="G876" s="8"/>
      <c r="H876" s="69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11"/>
      <c r="G877" s="8"/>
      <c r="H877" s="69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11"/>
      <c r="G878" s="8"/>
      <c r="H878" s="69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11"/>
      <c r="G879" s="8"/>
      <c r="H879" s="69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11"/>
      <c r="G880" s="8"/>
      <c r="H880" s="69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11"/>
      <c r="G881" s="8"/>
      <c r="H881" s="69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11"/>
      <c r="G882" s="8"/>
      <c r="H882" s="69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11"/>
      <c r="G883" s="8"/>
      <c r="H883" s="69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11"/>
      <c r="G884" s="8"/>
      <c r="H884" s="69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11"/>
      <c r="G885" s="8"/>
      <c r="H885" s="69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11"/>
      <c r="G886" s="8"/>
      <c r="H886" s="69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11"/>
      <c r="G887" s="8"/>
      <c r="H887" s="69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11"/>
      <c r="G888" s="8"/>
      <c r="H888" s="69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11"/>
      <c r="G889" s="8"/>
      <c r="H889" s="69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11"/>
      <c r="G890" s="8"/>
      <c r="H890" s="69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11"/>
      <c r="G891" s="8"/>
      <c r="H891" s="69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11"/>
      <c r="G892" s="8"/>
      <c r="H892" s="69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11"/>
      <c r="G893" s="8"/>
      <c r="H893" s="69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11"/>
      <c r="G894" s="8"/>
      <c r="H894" s="69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11"/>
      <c r="G895" s="8"/>
      <c r="H895" s="69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11"/>
      <c r="G896" s="8"/>
      <c r="H896" s="69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11"/>
      <c r="G897" s="8"/>
      <c r="H897" s="69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11"/>
      <c r="G898" s="8"/>
      <c r="H898" s="69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11"/>
      <c r="G899" s="8"/>
      <c r="H899" s="69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11"/>
      <c r="G900" s="8"/>
      <c r="H900" s="69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11"/>
      <c r="G901" s="8"/>
      <c r="H901" s="69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11"/>
      <c r="G902" s="8"/>
      <c r="H902" s="69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11"/>
      <c r="G903" s="8"/>
      <c r="H903" s="69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11"/>
      <c r="G904" s="8"/>
      <c r="H904" s="69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11"/>
      <c r="G905" s="8"/>
      <c r="H905" s="69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11"/>
      <c r="G906" s="8"/>
      <c r="H906" s="69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11"/>
      <c r="G907" s="8"/>
      <c r="H907" s="69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11"/>
      <c r="G908" s="8"/>
      <c r="H908" s="69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11"/>
      <c r="G909" s="8"/>
      <c r="H909" s="69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11"/>
      <c r="G910" s="8"/>
      <c r="H910" s="69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11"/>
      <c r="G911" s="8"/>
      <c r="H911" s="69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11"/>
      <c r="G912" s="8"/>
      <c r="H912" s="69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11"/>
      <c r="G913" s="8"/>
      <c r="H913" s="69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11"/>
      <c r="G914" s="8"/>
      <c r="H914" s="69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11"/>
      <c r="G915" s="8"/>
      <c r="H915" s="69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11"/>
      <c r="G916" s="8"/>
      <c r="H916" s="69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11"/>
      <c r="G917" s="8"/>
      <c r="H917" s="69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11"/>
      <c r="G918" s="8"/>
      <c r="H918" s="69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11"/>
      <c r="G919" s="8"/>
      <c r="H919" s="69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11"/>
      <c r="G920" s="8"/>
      <c r="H920" s="69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11"/>
      <c r="G921" s="8"/>
      <c r="H921" s="69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11"/>
      <c r="G922" s="8"/>
      <c r="H922" s="69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11"/>
      <c r="G923" s="8"/>
      <c r="H923" s="69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11"/>
      <c r="G924" s="8"/>
      <c r="H924" s="69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11"/>
      <c r="G925" s="8"/>
      <c r="H925" s="69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11"/>
      <c r="G926" s="8"/>
      <c r="H926" s="69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11"/>
      <c r="G927" s="8"/>
      <c r="H927" s="69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11"/>
      <c r="G928" s="8"/>
      <c r="H928" s="69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11"/>
      <c r="G929" s="8"/>
      <c r="H929" s="69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11"/>
      <c r="G930" s="8"/>
      <c r="H930" s="69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11"/>
      <c r="G931" s="8"/>
      <c r="H931" s="69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11"/>
      <c r="G932" s="8"/>
      <c r="H932" s="69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11"/>
      <c r="G933" s="8"/>
      <c r="H933" s="69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11"/>
      <c r="G934" s="8"/>
      <c r="H934" s="69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11"/>
      <c r="G935" s="8"/>
      <c r="H935" s="69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11"/>
      <c r="G936" s="8"/>
      <c r="H936" s="69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11"/>
      <c r="G937" s="8"/>
      <c r="H937" s="69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11"/>
      <c r="G938" s="8"/>
      <c r="H938" s="69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11"/>
      <c r="G939" s="8"/>
      <c r="H939" s="69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11"/>
      <c r="G940" s="8"/>
      <c r="H940" s="69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11"/>
      <c r="G941" s="8"/>
      <c r="H941" s="69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11"/>
      <c r="G942" s="8"/>
      <c r="H942" s="69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11"/>
      <c r="G943" s="8"/>
      <c r="H943" s="69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11"/>
      <c r="G944" s="8"/>
      <c r="H944" s="69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11"/>
      <c r="G945" s="8"/>
      <c r="H945" s="69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11"/>
      <c r="G946" s="8"/>
      <c r="H946" s="69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11"/>
      <c r="G947" s="8"/>
      <c r="H947" s="69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11"/>
      <c r="G948" s="8"/>
      <c r="H948" s="69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11"/>
      <c r="G949" s="8"/>
      <c r="H949" s="69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11"/>
      <c r="G950" s="8"/>
      <c r="H950" s="69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11"/>
      <c r="G951" s="8"/>
      <c r="H951" s="69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11"/>
      <c r="G952" s="8"/>
      <c r="H952" s="69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11"/>
      <c r="G953" s="8"/>
      <c r="H953" s="69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11"/>
      <c r="G954" s="8"/>
      <c r="H954" s="69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11"/>
      <c r="G955" s="8"/>
      <c r="H955" s="69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11"/>
      <c r="G956" s="8"/>
      <c r="H956" s="69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11"/>
      <c r="G957" s="8"/>
      <c r="H957" s="69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11"/>
      <c r="G958" s="8"/>
      <c r="H958" s="69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11"/>
      <c r="G959" s="8"/>
      <c r="H959" s="69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11"/>
      <c r="G960" s="8"/>
      <c r="H960" s="69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11"/>
      <c r="G961" s="8"/>
      <c r="H961" s="69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11"/>
      <c r="G962" s="8"/>
      <c r="H962" s="69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11"/>
      <c r="G963" s="8"/>
      <c r="H963" s="69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11"/>
      <c r="G964" s="8"/>
      <c r="H964" s="69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11"/>
      <c r="G965" s="8"/>
      <c r="H965" s="69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11"/>
      <c r="G966" s="8"/>
      <c r="H966" s="69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11"/>
      <c r="G967" s="8"/>
      <c r="H967" s="69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11"/>
      <c r="G968" s="8"/>
      <c r="H968" s="69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11"/>
      <c r="G969" s="8"/>
      <c r="H969" s="69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11"/>
      <c r="G970" s="8"/>
      <c r="H970" s="69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11"/>
      <c r="G971" s="8"/>
      <c r="H971" s="69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11"/>
      <c r="G972" s="8"/>
      <c r="H972" s="69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11"/>
      <c r="G973" s="8"/>
      <c r="H973" s="69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11"/>
      <c r="G974" s="8"/>
      <c r="H974" s="69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11"/>
      <c r="G975" s="8"/>
      <c r="H975" s="69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11"/>
      <c r="G976" s="8"/>
      <c r="H976" s="69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11"/>
      <c r="G977" s="8"/>
      <c r="H977" s="69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11"/>
      <c r="G978" s="8"/>
      <c r="H978" s="69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11"/>
      <c r="G979" s="8"/>
      <c r="H979" s="69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11"/>
      <c r="G980" s="8"/>
      <c r="H980" s="69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11"/>
      <c r="G981" s="8"/>
      <c r="H981" s="69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11"/>
      <c r="G982" s="8"/>
      <c r="H982" s="69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11"/>
      <c r="G983" s="8"/>
      <c r="H983" s="69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11"/>
      <c r="G984" s="8"/>
      <c r="H984" s="69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11"/>
      <c r="G985" s="8"/>
      <c r="H985" s="69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11"/>
      <c r="G986" s="8"/>
      <c r="H986" s="69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11"/>
      <c r="G987" s="8"/>
      <c r="H987" s="69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11"/>
      <c r="G988" s="8"/>
      <c r="H988" s="69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11"/>
      <c r="G989" s="8"/>
      <c r="H989" s="69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11"/>
      <c r="G990" s="8"/>
      <c r="H990" s="69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11"/>
      <c r="G991" s="8"/>
      <c r="H991" s="69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11"/>
      <c r="G992" s="8"/>
      <c r="H992" s="69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11"/>
      <c r="G993" s="8"/>
      <c r="H993" s="69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11"/>
      <c r="G994" s="8"/>
      <c r="H994" s="69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11"/>
      <c r="G995" s="8"/>
      <c r="H995" s="69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11"/>
      <c r="G996" s="8"/>
      <c r="H996" s="69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11"/>
      <c r="G997" s="8"/>
      <c r="H997" s="69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11"/>
      <c r="G998" s="8"/>
      <c r="H998" s="69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11"/>
      <c r="G999" s="8"/>
      <c r="H999" s="69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11"/>
      <c r="G1000" s="8"/>
      <c r="H1000" s="69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J7:J100">
      <formula1>DD!$E$2:$E$3</formula1>
    </dataValidation>
    <dataValidation type="list" allowBlank="1" showErrorMessage="1" sqref="I7:I100">
      <formula1>DD!$F$2:$F$241</formula1>
    </dataValidation>
    <dataValidation type="decimal" operator="greaterThan" allowBlank="1" showErrorMessage="1" sqref="K7:L100">
      <formula1>0.0</formula1>
    </dataValidation>
    <dataValidation type="decimal" allowBlank="1" showErrorMessage="1" sqref="D7:D71 D73:D100">
      <formula1>2021.0</formula1>
      <formula2>2024.0</formula2>
    </dataValidation>
    <dataValidation type="list" allowBlank="1" showErrorMessage="1" sqref="B7:B71 B73:B100">
      <formula1>campus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1.38"/>
    <col customWidth="1" min="3" max="3" width="13.75"/>
    <col customWidth="1" min="4" max="4" width="10.38"/>
    <col customWidth="1" min="5" max="5" width="11.38"/>
    <col customWidth="1" min="6" max="6" width="30.88"/>
    <col customWidth="1" min="7" max="26" width="8.63"/>
  </cols>
  <sheetData>
    <row r="1">
      <c r="A1" s="70" t="s">
        <v>21</v>
      </c>
      <c r="B1" s="71" t="s">
        <v>57</v>
      </c>
      <c r="C1" s="71" t="s">
        <v>30</v>
      </c>
      <c r="D1" s="71" t="s">
        <v>58</v>
      </c>
      <c r="F1" s="72" t="s">
        <v>59</v>
      </c>
    </row>
    <row r="2">
      <c r="A2" s="73" t="s">
        <v>60</v>
      </c>
      <c r="B2" s="71" t="s">
        <v>38</v>
      </c>
      <c r="C2" s="71" t="s">
        <v>41</v>
      </c>
      <c r="D2" s="71" t="s">
        <v>61</v>
      </c>
      <c r="E2" s="71" t="s">
        <v>56</v>
      </c>
      <c r="F2" s="72" t="s">
        <v>55</v>
      </c>
    </row>
    <row r="3">
      <c r="A3" s="73" t="s">
        <v>34</v>
      </c>
      <c r="B3" s="71" t="s">
        <v>62</v>
      </c>
      <c r="C3" s="71" t="s">
        <v>63</v>
      </c>
      <c r="D3" s="71" t="s">
        <v>42</v>
      </c>
      <c r="E3" s="71" t="s">
        <v>62</v>
      </c>
      <c r="F3" s="72" t="s">
        <v>64</v>
      </c>
    </row>
    <row r="4">
      <c r="A4" s="73" t="s">
        <v>65</v>
      </c>
      <c r="F4" s="72" t="s">
        <v>66</v>
      </c>
    </row>
    <row r="5">
      <c r="A5" s="73" t="s">
        <v>67</v>
      </c>
      <c r="F5" s="72" t="s">
        <v>68</v>
      </c>
    </row>
    <row r="6">
      <c r="A6" s="73" t="s">
        <v>69</v>
      </c>
      <c r="F6" s="72" t="s">
        <v>70</v>
      </c>
    </row>
    <row r="7">
      <c r="A7" s="73" t="s">
        <v>71</v>
      </c>
      <c r="F7" s="72" t="s">
        <v>72</v>
      </c>
    </row>
    <row r="8">
      <c r="A8" s="73" t="s">
        <v>73</v>
      </c>
      <c r="F8" s="72" t="s">
        <v>74</v>
      </c>
    </row>
    <row r="9">
      <c r="A9" s="73" t="s">
        <v>75</v>
      </c>
      <c r="F9" s="72" t="s">
        <v>76</v>
      </c>
    </row>
    <row r="10">
      <c r="A10" s="73" t="s">
        <v>77</v>
      </c>
      <c r="F10" s="72" t="s">
        <v>78</v>
      </c>
    </row>
    <row r="11">
      <c r="A11" s="73" t="s">
        <v>79</v>
      </c>
      <c r="F11" s="72" t="s">
        <v>80</v>
      </c>
    </row>
    <row r="12">
      <c r="A12" s="73" t="s">
        <v>81</v>
      </c>
      <c r="F12" s="72" t="s">
        <v>82</v>
      </c>
    </row>
    <row r="13">
      <c r="A13" s="73" t="s">
        <v>83</v>
      </c>
      <c r="F13" s="72" t="s">
        <v>84</v>
      </c>
    </row>
    <row r="14">
      <c r="F14" s="72" t="s">
        <v>85</v>
      </c>
    </row>
    <row r="15">
      <c r="F15" s="72" t="s">
        <v>86</v>
      </c>
    </row>
    <row r="16">
      <c r="F16" s="72" t="s">
        <v>87</v>
      </c>
    </row>
    <row r="17">
      <c r="F17" s="72" t="s">
        <v>88</v>
      </c>
    </row>
    <row r="18">
      <c r="F18" s="72" t="s">
        <v>89</v>
      </c>
    </row>
    <row r="19">
      <c r="F19" s="72" t="s">
        <v>90</v>
      </c>
    </row>
    <row r="20">
      <c r="F20" s="72" t="s">
        <v>91</v>
      </c>
    </row>
    <row r="21" ht="15.75" customHeight="1">
      <c r="F21" s="72" t="s">
        <v>92</v>
      </c>
    </row>
    <row r="22" ht="15.75" customHeight="1">
      <c r="F22" s="72" t="s">
        <v>93</v>
      </c>
    </row>
    <row r="23" ht="15.75" customHeight="1">
      <c r="F23" s="72" t="s">
        <v>94</v>
      </c>
    </row>
    <row r="24" ht="15.75" customHeight="1">
      <c r="F24" s="72" t="s">
        <v>95</v>
      </c>
    </row>
    <row r="25" ht="15.75" customHeight="1">
      <c r="F25" s="72" t="s">
        <v>96</v>
      </c>
    </row>
    <row r="26" ht="15.75" customHeight="1">
      <c r="F26" s="72" t="s">
        <v>97</v>
      </c>
    </row>
    <row r="27" ht="15.75" customHeight="1">
      <c r="F27" s="72" t="s">
        <v>98</v>
      </c>
    </row>
    <row r="28" ht="15.75" customHeight="1">
      <c r="F28" s="72" t="s">
        <v>99</v>
      </c>
    </row>
    <row r="29" ht="15.75" customHeight="1">
      <c r="F29" s="72" t="s">
        <v>100</v>
      </c>
    </row>
    <row r="30" ht="15.75" customHeight="1">
      <c r="F30" s="72" t="s">
        <v>101</v>
      </c>
    </row>
    <row r="31" ht="15.75" customHeight="1">
      <c r="F31" s="72" t="s">
        <v>102</v>
      </c>
    </row>
    <row r="32" ht="15.75" customHeight="1">
      <c r="F32" s="72" t="s">
        <v>103</v>
      </c>
    </row>
    <row r="33" ht="15.75" customHeight="1">
      <c r="F33" s="72" t="s">
        <v>104</v>
      </c>
    </row>
    <row r="34" ht="15.75" customHeight="1">
      <c r="F34" s="72" t="s">
        <v>105</v>
      </c>
    </row>
    <row r="35" ht="15.75" customHeight="1">
      <c r="F35" s="72" t="s">
        <v>106</v>
      </c>
    </row>
    <row r="36" ht="15.75" customHeight="1">
      <c r="F36" s="72" t="s">
        <v>107</v>
      </c>
    </row>
    <row r="37" ht="15.75" customHeight="1">
      <c r="F37" s="72" t="s">
        <v>108</v>
      </c>
    </row>
    <row r="38" ht="15.75" customHeight="1">
      <c r="F38" s="72" t="s">
        <v>109</v>
      </c>
    </row>
    <row r="39" ht="15.75" customHeight="1">
      <c r="F39" s="72" t="s">
        <v>110</v>
      </c>
    </row>
    <row r="40" ht="15.75" customHeight="1">
      <c r="F40" s="72" t="s">
        <v>111</v>
      </c>
    </row>
    <row r="41" ht="15.75" customHeight="1">
      <c r="F41" s="72" t="s">
        <v>112</v>
      </c>
    </row>
    <row r="42" ht="15.75" customHeight="1">
      <c r="F42" s="72" t="s">
        <v>113</v>
      </c>
    </row>
    <row r="43" ht="15.75" customHeight="1">
      <c r="F43" s="72" t="s">
        <v>114</v>
      </c>
    </row>
    <row r="44" ht="15.75" customHeight="1">
      <c r="F44" s="72" t="s">
        <v>115</v>
      </c>
    </row>
    <row r="45" ht="15.75" customHeight="1">
      <c r="F45" s="72" t="s">
        <v>116</v>
      </c>
    </row>
    <row r="46" ht="15.75" customHeight="1">
      <c r="F46" s="72" t="s">
        <v>117</v>
      </c>
    </row>
    <row r="47" ht="15.75" customHeight="1">
      <c r="F47" s="72" t="s">
        <v>118</v>
      </c>
    </row>
    <row r="48" ht="15.75" customHeight="1">
      <c r="F48" s="72" t="s">
        <v>119</v>
      </c>
    </row>
    <row r="49" ht="15.75" customHeight="1">
      <c r="F49" s="72" t="s">
        <v>120</v>
      </c>
    </row>
    <row r="50" ht="15.75" customHeight="1">
      <c r="F50" s="72" t="s">
        <v>121</v>
      </c>
    </row>
    <row r="51" ht="15.75" customHeight="1">
      <c r="F51" s="72" t="s">
        <v>122</v>
      </c>
    </row>
    <row r="52" ht="15.75" customHeight="1">
      <c r="F52" s="72" t="s">
        <v>123</v>
      </c>
    </row>
    <row r="53" ht="15.75" customHeight="1">
      <c r="F53" s="72" t="s">
        <v>124</v>
      </c>
    </row>
    <row r="54" ht="15.75" customHeight="1">
      <c r="F54" s="72" t="s">
        <v>125</v>
      </c>
    </row>
    <row r="55" ht="15.75" customHeight="1">
      <c r="F55" s="72" t="s">
        <v>126</v>
      </c>
    </row>
    <row r="56" ht="15.75" customHeight="1">
      <c r="F56" s="72" t="s">
        <v>127</v>
      </c>
    </row>
    <row r="57" ht="15.75" customHeight="1">
      <c r="F57" s="72" t="s">
        <v>128</v>
      </c>
    </row>
    <row r="58" ht="15.75" customHeight="1">
      <c r="F58" s="72" t="s">
        <v>129</v>
      </c>
    </row>
    <row r="59" ht="15.75" customHeight="1">
      <c r="F59" s="72" t="s">
        <v>130</v>
      </c>
    </row>
    <row r="60" ht="15.75" customHeight="1">
      <c r="F60" s="72" t="s">
        <v>131</v>
      </c>
    </row>
    <row r="61" ht="15.75" customHeight="1">
      <c r="F61" s="72" t="s">
        <v>132</v>
      </c>
    </row>
    <row r="62" ht="15.75" customHeight="1">
      <c r="F62" s="72" t="s">
        <v>133</v>
      </c>
    </row>
    <row r="63" ht="15.75" customHeight="1">
      <c r="F63" s="72" t="s">
        <v>134</v>
      </c>
    </row>
    <row r="64" ht="15.75" customHeight="1">
      <c r="F64" s="72" t="s">
        <v>135</v>
      </c>
    </row>
    <row r="65" ht="15.75" customHeight="1">
      <c r="F65" s="72" t="s">
        <v>136</v>
      </c>
    </row>
    <row r="66" ht="15.75" customHeight="1">
      <c r="F66" s="72" t="s">
        <v>137</v>
      </c>
    </row>
    <row r="67" ht="15.75" customHeight="1">
      <c r="F67" s="72" t="s">
        <v>138</v>
      </c>
    </row>
    <row r="68" ht="15.75" customHeight="1">
      <c r="F68" s="72" t="s">
        <v>139</v>
      </c>
    </row>
    <row r="69" ht="15.75" customHeight="1">
      <c r="F69" s="72" t="s">
        <v>140</v>
      </c>
    </row>
    <row r="70" ht="15.75" customHeight="1">
      <c r="F70" s="72" t="s">
        <v>141</v>
      </c>
    </row>
    <row r="71" ht="15.75" customHeight="1">
      <c r="F71" s="72" t="s">
        <v>142</v>
      </c>
    </row>
    <row r="72" ht="15.75" customHeight="1">
      <c r="F72" s="72" t="s">
        <v>143</v>
      </c>
    </row>
    <row r="73" ht="15.75" customHeight="1">
      <c r="F73" s="72" t="s">
        <v>144</v>
      </c>
    </row>
    <row r="74" ht="15.75" customHeight="1">
      <c r="F74" s="72" t="s">
        <v>145</v>
      </c>
    </row>
    <row r="75" ht="15.75" customHeight="1">
      <c r="F75" s="72" t="s">
        <v>146</v>
      </c>
    </row>
    <row r="76" ht="15.75" customHeight="1">
      <c r="F76" s="72" t="s">
        <v>147</v>
      </c>
    </row>
    <row r="77" ht="15.75" customHeight="1">
      <c r="F77" s="72" t="s">
        <v>148</v>
      </c>
    </row>
    <row r="78" ht="15.75" customHeight="1">
      <c r="F78" s="72" t="s">
        <v>149</v>
      </c>
    </row>
    <row r="79" ht="15.75" customHeight="1">
      <c r="F79" s="72" t="s">
        <v>150</v>
      </c>
    </row>
    <row r="80" ht="15.75" customHeight="1">
      <c r="F80" s="72" t="s">
        <v>151</v>
      </c>
    </row>
    <row r="81" ht="15.75" customHeight="1">
      <c r="F81" s="72" t="s">
        <v>152</v>
      </c>
    </row>
    <row r="82" ht="15.75" customHeight="1">
      <c r="F82" s="72" t="s">
        <v>153</v>
      </c>
    </row>
    <row r="83" ht="15.75" customHeight="1">
      <c r="F83" s="72" t="s">
        <v>154</v>
      </c>
    </row>
    <row r="84" ht="15.75" customHeight="1">
      <c r="F84" s="72" t="s">
        <v>155</v>
      </c>
    </row>
    <row r="85" ht="15.75" customHeight="1">
      <c r="F85" s="72" t="s">
        <v>156</v>
      </c>
    </row>
    <row r="86" ht="15.75" customHeight="1">
      <c r="F86" s="72" t="s">
        <v>157</v>
      </c>
    </row>
    <row r="87" ht="15.75" customHeight="1">
      <c r="F87" s="72" t="s">
        <v>158</v>
      </c>
    </row>
    <row r="88" ht="15.75" customHeight="1">
      <c r="F88" s="72" t="s">
        <v>159</v>
      </c>
    </row>
    <row r="89" ht="15.75" customHeight="1">
      <c r="F89" s="72" t="s">
        <v>160</v>
      </c>
    </row>
    <row r="90" ht="15.75" customHeight="1">
      <c r="F90" s="72" t="s">
        <v>161</v>
      </c>
    </row>
    <row r="91" ht="15.75" customHeight="1">
      <c r="F91" s="72" t="s">
        <v>162</v>
      </c>
    </row>
    <row r="92" ht="15.75" customHeight="1">
      <c r="F92" s="72" t="s">
        <v>163</v>
      </c>
    </row>
    <row r="93" ht="15.75" customHeight="1">
      <c r="F93" s="72" t="s">
        <v>164</v>
      </c>
    </row>
    <row r="94" ht="15.75" customHeight="1">
      <c r="F94" s="72" t="s">
        <v>165</v>
      </c>
    </row>
    <row r="95" ht="15.75" customHeight="1">
      <c r="F95" s="72" t="s">
        <v>166</v>
      </c>
    </row>
    <row r="96" ht="15.75" customHeight="1">
      <c r="F96" s="72" t="s">
        <v>167</v>
      </c>
    </row>
    <row r="97" ht="15.75" customHeight="1">
      <c r="F97" s="72" t="s">
        <v>168</v>
      </c>
    </row>
    <row r="98" ht="15.75" customHeight="1">
      <c r="F98" s="72" t="s">
        <v>169</v>
      </c>
    </row>
    <row r="99" ht="15.75" customHeight="1">
      <c r="F99" s="72" t="s">
        <v>170</v>
      </c>
    </row>
    <row r="100" ht="15.75" customHeight="1">
      <c r="F100" s="72" t="s">
        <v>171</v>
      </c>
    </row>
    <row r="101" ht="15.75" customHeight="1">
      <c r="F101" s="72" t="s">
        <v>172</v>
      </c>
    </row>
    <row r="102" ht="15.75" customHeight="1">
      <c r="F102" s="72" t="s">
        <v>173</v>
      </c>
    </row>
    <row r="103" ht="15.75" customHeight="1">
      <c r="F103" s="72" t="s">
        <v>174</v>
      </c>
    </row>
    <row r="104" ht="15.75" customHeight="1">
      <c r="F104" s="72" t="s">
        <v>175</v>
      </c>
    </row>
    <row r="105" ht="15.75" customHeight="1">
      <c r="F105" s="72" t="s">
        <v>176</v>
      </c>
    </row>
    <row r="106" ht="15.75" customHeight="1">
      <c r="F106" s="72" t="s">
        <v>177</v>
      </c>
    </row>
    <row r="107" ht="15.75" customHeight="1">
      <c r="F107" s="72" t="s">
        <v>178</v>
      </c>
    </row>
    <row r="108" ht="15.75" customHeight="1">
      <c r="F108" s="72" t="s">
        <v>179</v>
      </c>
    </row>
    <row r="109" ht="15.75" customHeight="1">
      <c r="F109" s="72" t="s">
        <v>180</v>
      </c>
    </row>
    <row r="110" ht="15.75" customHeight="1">
      <c r="F110" s="72" t="s">
        <v>181</v>
      </c>
    </row>
    <row r="111" ht="15.75" customHeight="1">
      <c r="F111" s="72" t="s">
        <v>182</v>
      </c>
    </row>
    <row r="112" ht="15.75" customHeight="1">
      <c r="F112" s="72" t="s">
        <v>183</v>
      </c>
    </row>
    <row r="113" ht="15.75" customHeight="1">
      <c r="F113" s="72" t="s">
        <v>184</v>
      </c>
    </row>
    <row r="114" ht="15.75" customHeight="1">
      <c r="F114" s="72" t="s">
        <v>185</v>
      </c>
    </row>
    <row r="115" ht="15.75" customHeight="1">
      <c r="F115" s="72" t="s">
        <v>186</v>
      </c>
    </row>
    <row r="116" ht="15.75" customHeight="1">
      <c r="F116" s="72" t="s">
        <v>187</v>
      </c>
    </row>
    <row r="117" ht="15.75" customHeight="1">
      <c r="F117" s="72" t="s">
        <v>188</v>
      </c>
    </row>
    <row r="118" ht="15.75" customHeight="1">
      <c r="F118" s="72" t="s">
        <v>189</v>
      </c>
    </row>
    <row r="119" ht="15.75" customHeight="1">
      <c r="F119" s="72" t="s">
        <v>190</v>
      </c>
    </row>
    <row r="120" ht="15.75" customHeight="1">
      <c r="F120" s="72" t="s">
        <v>191</v>
      </c>
    </row>
    <row r="121" ht="15.75" customHeight="1">
      <c r="F121" s="72" t="s">
        <v>192</v>
      </c>
    </row>
    <row r="122" ht="15.75" customHeight="1">
      <c r="F122" s="72" t="s">
        <v>193</v>
      </c>
    </row>
    <row r="123" ht="15.75" customHeight="1">
      <c r="F123" s="72" t="s">
        <v>194</v>
      </c>
    </row>
    <row r="124" ht="15.75" customHeight="1">
      <c r="F124" s="72" t="s">
        <v>195</v>
      </c>
    </row>
    <row r="125" ht="15.75" customHeight="1">
      <c r="F125" s="72" t="s">
        <v>196</v>
      </c>
    </row>
    <row r="126" ht="15.75" customHeight="1">
      <c r="F126" s="72" t="s">
        <v>197</v>
      </c>
    </row>
    <row r="127" ht="15.75" customHeight="1">
      <c r="F127" s="72" t="s">
        <v>198</v>
      </c>
    </row>
    <row r="128" ht="15.75" customHeight="1">
      <c r="F128" s="72" t="s">
        <v>199</v>
      </c>
    </row>
    <row r="129" ht="15.75" customHeight="1">
      <c r="F129" s="72" t="s">
        <v>200</v>
      </c>
    </row>
    <row r="130" ht="15.75" customHeight="1">
      <c r="F130" s="72" t="s">
        <v>201</v>
      </c>
    </row>
    <row r="131" ht="15.75" customHeight="1">
      <c r="F131" s="72" t="s">
        <v>202</v>
      </c>
    </row>
    <row r="132" ht="15.75" customHeight="1">
      <c r="F132" s="72" t="s">
        <v>203</v>
      </c>
    </row>
    <row r="133" ht="15.75" customHeight="1">
      <c r="F133" s="72" t="s">
        <v>204</v>
      </c>
    </row>
    <row r="134" ht="15.75" customHeight="1">
      <c r="F134" s="72" t="s">
        <v>205</v>
      </c>
    </row>
    <row r="135" ht="15.75" customHeight="1">
      <c r="F135" s="72" t="s">
        <v>206</v>
      </c>
    </row>
    <row r="136" ht="15.75" customHeight="1">
      <c r="F136" s="72" t="s">
        <v>207</v>
      </c>
    </row>
    <row r="137" ht="15.75" customHeight="1">
      <c r="F137" s="72" t="s">
        <v>208</v>
      </c>
    </row>
    <row r="138" ht="15.75" customHeight="1">
      <c r="F138" s="72" t="s">
        <v>209</v>
      </c>
    </row>
    <row r="139" ht="15.75" customHeight="1">
      <c r="F139" s="72" t="s">
        <v>210</v>
      </c>
    </row>
    <row r="140" ht="15.75" customHeight="1">
      <c r="F140" s="72" t="s">
        <v>211</v>
      </c>
    </row>
    <row r="141" ht="15.75" customHeight="1">
      <c r="F141" s="72" t="s">
        <v>212</v>
      </c>
    </row>
    <row r="142" ht="15.75" customHeight="1">
      <c r="F142" s="72" t="s">
        <v>213</v>
      </c>
    </row>
    <row r="143" ht="15.75" customHeight="1">
      <c r="F143" s="72" t="s">
        <v>214</v>
      </c>
    </row>
    <row r="144" ht="15.75" customHeight="1">
      <c r="F144" s="72" t="s">
        <v>215</v>
      </c>
    </row>
    <row r="145" ht="15.75" customHeight="1">
      <c r="F145" s="72" t="s">
        <v>216</v>
      </c>
    </row>
    <row r="146" ht="15.75" customHeight="1">
      <c r="F146" s="72" t="s">
        <v>217</v>
      </c>
    </row>
    <row r="147" ht="15.75" customHeight="1">
      <c r="F147" s="72" t="s">
        <v>218</v>
      </c>
    </row>
    <row r="148" ht="15.75" customHeight="1">
      <c r="F148" s="72" t="s">
        <v>219</v>
      </c>
    </row>
    <row r="149" ht="15.75" customHeight="1">
      <c r="F149" s="72" t="s">
        <v>220</v>
      </c>
    </row>
    <row r="150" ht="15.75" customHeight="1">
      <c r="F150" s="72" t="s">
        <v>221</v>
      </c>
    </row>
    <row r="151" ht="15.75" customHeight="1">
      <c r="F151" s="72" t="s">
        <v>222</v>
      </c>
    </row>
    <row r="152" ht="15.75" customHeight="1">
      <c r="F152" s="72" t="s">
        <v>223</v>
      </c>
    </row>
    <row r="153" ht="15.75" customHeight="1">
      <c r="F153" s="72" t="s">
        <v>224</v>
      </c>
    </row>
    <row r="154" ht="15.75" customHeight="1">
      <c r="F154" s="72" t="s">
        <v>225</v>
      </c>
    </row>
    <row r="155" ht="15.75" customHeight="1">
      <c r="F155" s="72" t="s">
        <v>226</v>
      </c>
    </row>
    <row r="156" ht="15.75" customHeight="1">
      <c r="F156" s="72" t="s">
        <v>227</v>
      </c>
    </row>
    <row r="157" ht="15.75" customHeight="1">
      <c r="F157" s="72" t="s">
        <v>228</v>
      </c>
    </row>
    <row r="158" ht="15.75" customHeight="1">
      <c r="F158" s="72" t="s">
        <v>229</v>
      </c>
    </row>
    <row r="159" ht="15.75" customHeight="1">
      <c r="F159" s="72" t="s">
        <v>230</v>
      </c>
    </row>
    <row r="160" ht="15.75" customHeight="1">
      <c r="F160" s="72" t="s">
        <v>231</v>
      </c>
    </row>
    <row r="161" ht="15.75" customHeight="1">
      <c r="F161" s="72" t="s">
        <v>232</v>
      </c>
    </row>
    <row r="162" ht="15.75" customHeight="1">
      <c r="F162" s="72" t="s">
        <v>233</v>
      </c>
    </row>
    <row r="163" ht="15.75" customHeight="1">
      <c r="F163" s="72" t="s">
        <v>234</v>
      </c>
    </row>
    <row r="164" ht="15.75" customHeight="1">
      <c r="F164" s="72" t="s">
        <v>235</v>
      </c>
    </row>
    <row r="165" ht="15.75" customHeight="1">
      <c r="F165" s="72" t="s">
        <v>236</v>
      </c>
    </row>
    <row r="166" ht="15.75" customHeight="1">
      <c r="F166" s="72" t="s">
        <v>237</v>
      </c>
    </row>
    <row r="167" ht="15.75" customHeight="1">
      <c r="F167" s="72" t="s">
        <v>238</v>
      </c>
    </row>
    <row r="168" ht="15.75" customHeight="1">
      <c r="F168" s="72" t="s">
        <v>239</v>
      </c>
    </row>
    <row r="169" ht="15.75" customHeight="1">
      <c r="F169" s="72" t="s">
        <v>240</v>
      </c>
    </row>
    <row r="170" ht="15.75" customHeight="1">
      <c r="F170" s="72" t="s">
        <v>241</v>
      </c>
    </row>
    <row r="171" ht="15.75" customHeight="1">
      <c r="F171" s="72" t="s">
        <v>242</v>
      </c>
    </row>
    <row r="172" ht="15.75" customHeight="1">
      <c r="F172" s="72" t="s">
        <v>243</v>
      </c>
    </row>
    <row r="173" ht="15.75" customHeight="1">
      <c r="F173" s="72" t="s">
        <v>244</v>
      </c>
    </row>
    <row r="174" ht="15.75" customHeight="1">
      <c r="F174" s="72" t="s">
        <v>245</v>
      </c>
    </row>
    <row r="175" ht="15.75" customHeight="1">
      <c r="F175" s="72" t="s">
        <v>246</v>
      </c>
    </row>
    <row r="176" ht="15.75" customHeight="1">
      <c r="F176" s="72" t="s">
        <v>247</v>
      </c>
    </row>
    <row r="177" ht="15.75" customHeight="1">
      <c r="F177" s="72" t="s">
        <v>248</v>
      </c>
    </row>
    <row r="178" ht="15.75" customHeight="1">
      <c r="F178" s="72" t="s">
        <v>249</v>
      </c>
    </row>
    <row r="179" ht="15.75" customHeight="1">
      <c r="F179" s="72" t="s">
        <v>250</v>
      </c>
    </row>
    <row r="180" ht="15.75" customHeight="1">
      <c r="F180" s="72" t="s">
        <v>251</v>
      </c>
    </row>
    <row r="181" ht="15.75" customHeight="1">
      <c r="F181" s="72" t="s">
        <v>252</v>
      </c>
    </row>
    <row r="182" ht="15.75" customHeight="1">
      <c r="F182" s="72" t="s">
        <v>253</v>
      </c>
    </row>
    <row r="183" ht="15.75" customHeight="1">
      <c r="F183" s="72" t="s">
        <v>254</v>
      </c>
    </row>
    <row r="184" ht="15.75" customHeight="1">
      <c r="F184" s="72" t="s">
        <v>255</v>
      </c>
    </row>
    <row r="185" ht="15.75" customHeight="1">
      <c r="F185" s="72" t="s">
        <v>256</v>
      </c>
    </row>
    <row r="186" ht="15.75" customHeight="1">
      <c r="F186" s="72" t="s">
        <v>257</v>
      </c>
    </row>
    <row r="187" ht="15.75" customHeight="1">
      <c r="F187" s="72" t="s">
        <v>258</v>
      </c>
    </row>
    <row r="188" ht="15.75" customHeight="1">
      <c r="F188" s="72" t="s">
        <v>259</v>
      </c>
    </row>
    <row r="189" ht="15.75" customHeight="1">
      <c r="F189" s="72" t="s">
        <v>260</v>
      </c>
    </row>
    <row r="190" ht="15.75" customHeight="1">
      <c r="F190" s="72" t="s">
        <v>261</v>
      </c>
    </row>
    <row r="191" ht="15.75" customHeight="1">
      <c r="F191" s="72" t="s">
        <v>262</v>
      </c>
    </row>
    <row r="192" ht="15.75" customHeight="1">
      <c r="F192" s="72" t="s">
        <v>263</v>
      </c>
    </row>
    <row r="193" ht="15.75" customHeight="1">
      <c r="F193" s="72" t="s">
        <v>264</v>
      </c>
    </row>
    <row r="194" ht="15.75" customHeight="1">
      <c r="F194" s="72" t="s">
        <v>265</v>
      </c>
    </row>
    <row r="195" ht="15.75" customHeight="1">
      <c r="F195" s="72" t="s">
        <v>266</v>
      </c>
    </row>
    <row r="196" ht="15.75" customHeight="1">
      <c r="F196" s="72" t="s">
        <v>267</v>
      </c>
    </row>
    <row r="197" ht="15.75" customHeight="1">
      <c r="F197" s="72" t="s">
        <v>268</v>
      </c>
    </row>
    <row r="198" ht="15.75" customHeight="1">
      <c r="F198" s="72" t="s">
        <v>269</v>
      </c>
    </row>
    <row r="199" ht="15.75" customHeight="1">
      <c r="F199" s="72" t="s">
        <v>270</v>
      </c>
    </row>
    <row r="200" ht="15.75" customHeight="1">
      <c r="F200" s="72" t="s">
        <v>271</v>
      </c>
    </row>
    <row r="201" ht="15.75" customHeight="1">
      <c r="F201" s="72" t="s">
        <v>272</v>
      </c>
    </row>
    <row r="202" ht="15.75" customHeight="1">
      <c r="F202" s="72" t="s">
        <v>273</v>
      </c>
    </row>
    <row r="203" ht="15.75" customHeight="1">
      <c r="F203" s="72" t="s">
        <v>274</v>
      </c>
    </row>
    <row r="204" ht="15.75" customHeight="1">
      <c r="F204" s="72" t="s">
        <v>275</v>
      </c>
    </row>
    <row r="205" ht="15.75" customHeight="1">
      <c r="F205" s="72" t="s">
        <v>276</v>
      </c>
    </row>
    <row r="206" ht="15.75" customHeight="1">
      <c r="F206" s="72" t="s">
        <v>277</v>
      </c>
    </row>
    <row r="207" ht="15.75" customHeight="1">
      <c r="F207" s="72" t="s">
        <v>278</v>
      </c>
    </row>
    <row r="208" ht="15.75" customHeight="1">
      <c r="F208" s="72" t="s">
        <v>279</v>
      </c>
    </row>
    <row r="209" ht="15.75" customHeight="1">
      <c r="F209" s="72" t="s">
        <v>280</v>
      </c>
    </row>
    <row r="210" ht="15.75" customHeight="1">
      <c r="F210" s="72" t="s">
        <v>281</v>
      </c>
    </row>
    <row r="211" ht="15.75" customHeight="1">
      <c r="F211" s="72" t="s">
        <v>282</v>
      </c>
    </row>
    <row r="212" ht="15.75" customHeight="1">
      <c r="F212" s="72" t="s">
        <v>283</v>
      </c>
    </row>
    <row r="213" ht="15.75" customHeight="1">
      <c r="F213" s="72" t="s">
        <v>284</v>
      </c>
    </row>
    <row r="214" ht="15.75" customHeight="1">
      <c r="F214" s="72" t="s">
        <v>285</v>
      </c>
    </row>
    <row r="215" ht="15.75" customHeight="1">
      <c r="F215" s="72" t="s">
        <v>286</v>
      </c>
    </row>
    <row r="216" ht="15.75" customHeight="1">
      <c r="F216" s="72" t="s">
        <v>287</v>
      </c>
    </row>
    <row r="217" ht="15.75" customHeight="1">
      <c r="F217" s="72" t="s">
        <v>288</v>
      </c>
    </row>
    <row r="218" ht="15.75" customHeight="1">
      <c r="F218" s="72" t="s">
        <v>289</v>
      </c>
    </row>
    <row r="219" ht="15.75" customHeight="1">
      <c r="F219" s="72" t="s">
        <v>290</v>
      </c>
    </row>
    <row r="220" ht="15.75" customHeight="1">
      <c r="F220" s="72" t="s">
        <v>291</v>
      </c>
    </row>
    <row r="221" ht="15.75" customHeight="1">
      <c r="F221" s="72" t="s">
        <v>292</v>
      </c>
    </row>
    <row r="222" ht="15.75" customHeight="1">
      <c r="F222" s="72" t="s">
        <v>293</v>
      </c>
    </row>
    <row r="223" ht="15.75" customHeight="1">
      <c r="F223" s="72" t="s">
        <v>294</v>
      </c>
    </row>
    <row r="224" ht="15.75" customHeight="1">
      <c r="F224" s="72" t="s">
        <v>295</v>
      </c>
    </row>
    <row r="225" ht="15.75" customHeight="1">
      <c r="F225" s="72" t="s">
        <v>296</v>
      </c>
    </row>
    <row r="226" ht="15.75" customHeight="1">
      <c r="F226" s="72" t="s">
        <v>297</v>
      </c>
    </row>
    <row r="227" ht="15.75" customHeight="1">
      <c r="F227" s="72" t="s">
        <v>298</v>
      </c>
    </row>
    <row r="228" ht="15.75" customHeight="1">
      <c r="F228" s="72" t="s">
        <v>299</v>
      </c>
    </row>
    <row r="229" ht="15.75" customHeight="1">
      <c r="F229" s="72" t="s">
        <v>300</v>
      </c>
    </row>
    <row r="230" ht="15.75" customHeight="1">
      <c r="F230" s="72" t="s">
        <v>301</v>
      </c>
    </row>
    <row r="231" ht="15.75" customHeight="1">
      <c r="F231" s="72" t="s">
        <v>302</v>
      </c>
    </row>
    <row r="232" ht="15.75" customHeight="1">
      <c r="F232" s="72" t="s">
        <v>303</v>
      </c>
    </row>
    <row r="233" ht="15.75" customHeight="1">
      <c r="F233" s="72" t="s">
        <v>304</v>
      </c>
    </row>
    <row r="234" ht="15.75" customHeight="1">
      <c r="F234" s="72" t="s">
        <v>305</v>
      </c>
    </row>
    <row r="235" ht="15.75" customHeight="1">
      <c r="F235" s="72" t="s">
        <v>306</v>
      </c>
    </row>
    <row r="236" ht="15.75" customHeight="1">
      <c r="F236" s="72" t="s">
        <v>307</v>
      </c>
    </row>
    <row r="237" ht="15.75" customHeight="1">
      <c r="F237" s="72" t="s">
        <v>308</v>
      </c>
    </row>
    <row r="238" ht="15.75" customHeight="1">
      <c r="F238" s="72" t="s">
        <v>309</v>
      </c>
    </row>
    <row r="239" ht="15.75" customHeight="1">
      <c r="F239" s="72" t="s">
        <v>310</v>
      </c>
    </row>
    <row r="240" ht="15.75" customHeight="1">
      <c r="F240" s="72" t="s">
        <v>311</v>
      </c>
    </row>
    <row r="241" ht="15.75" customHeight="1">
      <c r="F241" s="72" t="s">
        <v>312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7.0"/>
    <col customWidth="1" min="3" max="3" width="10.0"/>
    <col customWidth="1" min="4" max="4" width="10.38"/>
    <col customWidth="1" min="5" max="5" width="26.88"/>
    <col customWidth="1" min="6" max="26" width="8.63"/>
  </cols>
  <sheetData>
    <row r="2">
      <c r="A2" s="71" t="s">
        <v>46</v>
      </c>
      <c r="B2" s="71" t="s">
        <v>50</v>
      </c>
      <c r="C2" s="71" t="s">
        <v>30</v>
      </c>
      <c r="D2" s="71" t="s">
        <v>58</v>
      </c>
      <c r="E2" s="71" t="s">
        <v>313</v>
      </c>
      <c r="F2" s="71" t="s">
        <v>314</v>
      </c>
      <c r="G2" s="71" t="s">
        <v>50</v>
      </c>
      <c r="H2" s="71" t="s">
        <v>315</v>
      </c>
      <c r="I2" s="71" t="s">
        <v>32</v>
      </c>
    </row>
    <row r="3">
      <c r="A3" s="71" t="s">
        <v>82</v>
      </c>
      <c r="B3" s="71">
        <v>77.08</v>
      </c>
      <c r="C3" s="71" t="s">
        <v>41</v>
      </c>
      <c r="D3" s="71" t="s">
        <v>61</v>
      </c>
      <c r="E3" s="71" t="s">
        <v>316</v>
      </c>
      <c r="F3" s="71" t="s">
        <v>317</v>
      </c>
      <c r="G3" s="71">
        <v>0.62687</v>
      </c>
      <c r="H3" s="71">
        <v>1000.0</v>
      </c>
      <c r="I3" s="71">
        <v>626.87</v>
      </c>
    </row>
    <row r="4">
      <c r="A4" s="71" t="s">
        <v>86</v>
      </c>
      <c r="B4" s="71">
        <v>51.47</v>
      </c>
      <c r="C4" s="71" t="s">
        <v>318</v>
      </c>
      <c r="D4" s="71" t="s">
        <v>42</v>
      </c>
      <c r="E4" s="71" t="s">
        <v>319</v>
      </c>
      <c r="F4" s="71" t="s">
        <v>317</v>
      </c>
      <c r="G4" s="71">
        <v>0.57896</v>
      </c>
      <c r="H4" s="71">
        <v>1000.0</v>
      </c>
      <c r="I4" s="71">
        <v>578.96</v>
      </c>
    </row>
    <row r="5">
      <c r="A5" s="71" t="s">
        <v>87</v>
      </c>
      <c r="B5" s="71">
        <v>18.73</v>
      </c>
      <c r="C5" s="71" t="s">
        <v>320</v>
      </c>
      <c r="E5" s="71" t="s">
        <v>321</v>
      </c>
      <c r="F5" s="71" t="s">
        <v>317</v>
      </c>
      <c r="G5" s="71">
        <v>0.0089</v>
      </c>
      <c r="H5" s="71">
        <v>1000.0</v>
      </c>
      <c r="I5" s="71">
        <v>8.9</v>
      </c>
    </row>
    <row r="6">
      <c r="A6" s="71" t="s">
        <v>94</v>
      </c>
      <c r="B6" s="71">
        <v>16.04</v>
      </c>
      <c r="E6" s="71" t="s">
        <v>322</v>
      </c>
      <c r="F6" s="71" t="s">
        <v>317</v>
      </c>
      <c r="G6" s="71">
        <v>0.0089</v>
      </c>
      <c r="H6" s="71">
        <v>1000.0</v>
      </c>
      <c r="I6" s="71">
        <v>8.9</v>
      </c>
    </row>
    <row r="7">
      <c r="A7" s="71" t="s">
        <v>102</v>
      </c>
      <c r="B7" s="71">
        <v>16.77</v>
      </c>
      <c r="E7" s="71" t="s">
        <v>323</v>
      </c>
      <c r="F7" s="71" t="s">
        <v>317</v>
      </c>
      <c r="G7" s="71">
        <v>1.0418</v>
      </c>
      <c r="H7" s="71">
        <v>1000.0</v>
      </c>
      <c r="I7" s="71">
        <v>1041.8</v>
      </c>
    </row>
    <row r="8">
      <c r="A8" s="71" t="s">
        <v>111</v>
      </c>
      <c r="B8" s="71">
        <v>23.0</v>
      </c>
    </row>
    <row r="9">
      <c r="A9" s="71" t="s">
        <v>116</v>
      </c>
      <c r="B9" s="71">
        <v>38.5</v>
      </c>
    </row>
    <row r="10">
      <c r="A10" s="71" t="s">
        <v>117</v>
      </c>
      <c r="B10" s="71">
        <v>76.74</v>
      </c>
    </row>
    <row r="11">
      <c r="A11" s="71" t="s">
        <v>120</v>
      </c>
      <c r="B11" s="71">
        <v>18.69</v>
      </c>
    </row>
    <row r="12">
      <c r="A12" s="71" t="s">
        <v>123</v>
      </c>
      <c r="B12" s="71">
        <v>11.1</v>
      </c>
    </row>
    <row r="13">
      <c r="A13" s="71" t="s">
        <v>128</v>
      </c>
      <c r="B13" s="71">
        <v>53.04</v>
      </c>
    </row>
    <row r="14">
      <c r="A14" s="71" t="s">
        <v>136</v>
      </c>
      <c r="B14" s="71">
        <v>65.38</v>
      </c>
    </row>
    <row r="15">
      <c r="A15" s="71" t="s">
        <v>144</v>
      </c>
      <c r="B15" s="71">
        <v>48.99</v>
      </c>
    </row>
    <row r="16">
      <c r="A16" s="71" t="s">
        <v>146</v>
      </c>
      <c r="B16" s="71">
        <v>8.01</v>
      </c>
    </row>
    <row r="17">
      <c r="A17" s="71" t="s">
        <v>151</v>
      </c>
      <c r="B17" s="71">
        <v>22.57</v>
      </c>
    </row>
    <row r="18">
      <c r="A18" s="71" t="s">
        <v>154</v>
      </c>
      <c r="B18" s="71">
        <v>56.63</v>
      </c>
    </row>
    <row r="19">
      <c r="A19" s="71" t="s">
        <v>324</v>
      </c>
      <c r="B19" s="71">
        <v>84.43</v>
      </c>
    </row>
    <row r="20">
      <c r="A20" s="71" t="s">
        <v>168</v>
      </c>
      <c r="B20" s="71">
        <v>93.2</v>
      </c>
    </row>
    <row r="21" ht="15.75" customHeight="1">
      <c r="A21" s="71" t="s">
        <v>169</v>
      </c>
      <c r="B21" s="71">
        <v>110.37</v>
      </c>
    </row>
    <row r="22" ht="15.75" customHeight="1">
      <c r="A22" s="71" t="s">
        <v>172</v>
      </c>
      <c r="B22" s="71">
        <v>31.78</v>
      </c>
    </row>
    <row r="23" ht="15.75" customHeight="1">
      <c r="A23" s="71" t="s">
        <v>174</v>
      </c>
      <c r="B23" s="71">
        <v>72.6</v>
      </c>
    </row>
    <row r="24" ht="15.75" customHeight="1">
      <c r="A24" s="71" t="s">
        <v>175</v>
      </c>
      <c r="B24" s="71">
        <v>26.2</v>
      </c>
    </row>
    <row r="25" ht="15.75" customHeight="1">
      <c r="A25" s="71" t="s">
        <v>178</v>
      </c>
      <c r="B25" s="71">
        <v>81.86</v>
      </c>
    </row>
    <row r="26" ht="15.75" customHeight="1">
      <c r="A26" s="71" t="s">
        <v>180</v>
      </c>
      <c r="B26" s="71">
        <v>80.48</v>
      </c>
    </row>
    <row r="27" ht="15.75" customHeight="1">
      <c r="A27" s="71" t="s">
        <v>325</v>
      </c>
      <c r="B27" s="71">
        <v>85.19</v>
      </c>
    </row>
    <row r="28" ht="15.75" customHeight="1">
      <c r="A28" s="71" t="s">
        <v>326</v>
      </c>
      <c r="B28" s="71">
        <v>109.01</v>
      </c>
    </row>
    <row r="29" ht="15.75" customHeight="1">
      <c r="A29" s="71" t="s">
        <v>200</v>
      </c>
      <c r="B29" s="71">
        <v>95.94</v>
      </c>
    </row>
    <row r="30" ht="15.75" customHeight="1">
      <c r="A30" s="71" t="s">
        <v>201</v>
      </c>
      <c r="B30" s="71">
        <v>218.68</v>
      </c>
    </row>
    <row r="31" ht="15.75" customHeight="1">
      <c r="A31" s="71" t="s">
        <v>208</v>
      </c>
      <c r="B31" s="71">
        <v>30.52</v>
      </c>
    </row>
    <row r="32" ht="15.75" customHeight="1">
      <c r="A32" s="71" t="s">
        <v>221</v>
      </c>
      <c r="B32" s="71">
        <v>23.78</v>
      </c>
    </row>
    <row r="33" ht="15.75" customHeight="1">
      <c r="A33" s="71" t="s">
        <v>224</v>
      </c>
      <c r="B33" s="71">
        <v>11.57</v>
      </c>
    </row>
    <row r="34" ht="15.75" customHeight="1">
      <c r="A34" s="71" t="s">
        <v>236</v>
      </c>
      <c r="B34" s="71">
        <v>31.72</v>
      </c>
    </row>
    <row r="35" ht="15.75" customHeight="1">
      <c r="A35" s="71" t="s">
        <v>239</v>
      </c>
      <c r="B35" s="71">
        <v>28.65</v>
      </c>
    </row>
    <row r="36" ht="15.75" customHeight="1">
      <c r="A36" s="71" t="s">
        <v>55</v>
      </c>
      <c r="B36" s="71">
        <v>66.54</v>
      </c>
    </row>
    <row r="37" ht="15.75" customHeight="1">
      <c r="A37" s="71" t="s">
        <v>241</v>
      </c>
      <c r="B37" s="71">
        <v>39.12</v>
      </c>
    </row>
    <row r="38" ht="15.75" customHeight="1">
      <c r="A38" s="71" t="s">
        <v>242</v>
      </c>
      <c r="B38" s="71">
        <v>36.47</v>
      </c>
    </row>
    <row r="39" ht="15.75" customHeight="1">
      <c r="A39" s="71" t="s">
        <v>244</v>
      </c>
      <c r="B39" s="71">
        <v>165.18</v>
      </c>
    </row>
    <row r="40" ht="15.75" customHeight="1">
      <c r="A40" s="71" t="s">
        <v>247</v>
      </c>
      <c r="B40" s="71">
        <v>34.16</v>
      </c>
    </row>
    <row r="41" ht="15.75" customHeight="1">
      <c r="A41" s="71" t="s">
        <v>327</v>
      </c>
      <c r="B41" s="71">
        <v>37.98</v>
      </c>
    </row>
    <row r="42" ht="15.75" customHeight="1">
      <c r="A42" s="71" t="s">
        <v>260</v>
      </c>
      <c r="B42" s="71">
        <v>156.64</v>
      </c>
    </row>
    <row r="43" ht="15.75" customHeight="1">
      <c r="A43" s="71" t="s">
        <v>265</v>
      </c>
      <c r="B43" s="71">
        <v>51.33</v>
      </c>
    </row>
    <row r="44" ht="15.75" customHeight="1">
      <c r="A44" s="71" t="s">
        <v>328</v>
      </c>
      <c r="B44" s="71">
        <v>21.34</v>
      </c>
    </row>
    <row r="45" ht="15.75" customHeight="1">
      <c r="A45" s="71" t="s">
        <v>271</v>
      </c>
      <c r="B45" s="71">
        <v>82.36</v>
      </c>
    </row>
    <row r="46" ht="15.75" customHeight="1">
      <c r="A46" s="71" t="s">
        <v>274</v>
      </c>
      <c r="B46" s="71">
        <v>20.07</v>
      </c>
    </row>
    <row r="47" ht="15.75" customHeight="1">
      <c r="A47" s="71" t="s">
        <v>281</v>
      </c>
      <c r="B47" s="71">
        <v>10.75</v>
      </c>
    </row>
    <row r="48" ht="15.75" customHeight="1">
      <c r="A48" s="71" t="s">
        <v>329</v>
      </c>
      <c r="B48" s="71">
        <v>117.82</v>
      </c>
    </row>
    <row r="49" ht="15.75" customHeight="1">
      <c r="A49" s="71" t="s">
        <v>286</v>
      </c>
      <c r="B49" s="71">
        <v>59.05</v>
      </c>
    </row>
    <row r="50" ht="15.75" customHeight="1">
      <c r="A50" s="71" t="s">
        <v>292</v>
      </c>
      <c r="B50" s="71">
        <v>41.77</v>
      </c>
    </row>
    <row r="51" ht="15.75" customHeight="1">
      <c r="A51" s="71" t="s">
        <v>299</v>
      </c>
      <c r="B51" s="71">
        <v>145.46</v>
      </c>
    </row>
    <row r="52" ht="15.75" customHeight="1">
      <c r="A52" s="71" t="s">
        <v>300</v>
      </c>
      <c r="B52" s="71">
        <v>18.41</v>
      </c>
    </row>
    <row r="53" ht="15.75" customHeight="1">
      <c r="A53" s="71" t="s">
        <v>301</v>
      </c>
      <c r="B53" s="71">
        <v>23.04</v>
      </c>
    </row>
    <row r="54" ht="15.75" customHeight="1">
      <c r="A54" s="71" t="s">
        <v>307</v>
      </c>
      <c r="B54" s="71">
        <v>60.12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2023-08-01T08:12:26Z</dcterms:created>
  <dc:creator>Data Analyst</dc:creator>
</cp:coreProperties>
</file>
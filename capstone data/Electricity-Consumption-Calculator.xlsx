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_v2\htdocs\GHG_PHP\capstone data\"/>
    </mc:Choice>
  </mc:AlternateContent>
  <xr:revisionPtr revIDLastSave="0" documentId="13_ncr:1_{11674F7B-0DC8-4373-9A6F-1EC73B8792D6}" xr6:coauthVersionLast="47" xr6:coauthVersionMax="47" xr10:uidLastSave="{00000000-0000-0000-0000-000000000000}"/>
  <bookViews>
    <workbookView xWindow="28335" yWindow="1020" windowWidth="14610" windowHeight="8880" activeTab="1" xr2:uid="{41911ADB-F1E1-475C-961D-D69C8AF79498}"/>
  </bookViews>
  <sheets>
    <sheet name="Notes" sheetId="3" r:id="rId1"/>
    <sheet name="Electricity Consumption" sheetId="1" r:id="rId2"/>
    <sheet name="DROPDOWN" sheetId="2" state="hidden" r:id="rId3"/>
  </sheets>
  <definedNames>
    <definedName name="campus">DROPDOWN!$A$2:$A$12</definedName>
    <definedName name="category">DROPDOWN!$B$2:$B$3</definedName>
    <definedName name="FuelType">DROPDOWN!#REF!</definedName>
    <definedName name="month">DROPDOWN!$C$2:$C$13</definedName>
    <definedName name="plate">DROPDOWN!#REF!</definedName>
    <definedName name="_xlnm.Print_Titles" localSheetId="1">'Electricity Consumption'!$2:$2</definedName>
    <definedName name="vehicle">DROPDOWN!#REF!</definedName>
    <definedName name="WaterCat">DROPDOWN!$B$2:$B$4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H3" i="1" l="1"/>
  <c r="M3" i="1" l="1"/>
  <c r="D15" i="1"/>
  <c r="D16" i="1"/>
  <c r="D17" i="1"/>
  <c r="D18" i="1"/>
  <c r="D19" i="1"/>
  <c r="D20" i="1"/>
  <c r="D21" i="1"/>
  <c r="D22" i="1"/>
  <c r="D23" i="1"/>
  <c r="D24" i="1"/>
  <c r="D25" i="1"/>
  <c r="D26" i="1"/>
  <c r="H15" i="1"/>
  <c r="J15" i="1" s="1"/>
  <c r="H16" i="1"/>
  <c r="J16" i="1" s="1"/>
  <c r="H17" i="1"/>
  <c r="J17" i="1" s="1"/>
  <c r="L17" i="1" s="1"/>
  <c r="H18" i="1"/>
  <c r="J18" i="1" s="1"/>
  <c r="L18" i="1" s="1"/>
  <c r="H19" i="1"/>
  <c r="J19" i="1" s="1"/>
  <c r="L19" i="1" s="1"/>
  <c r="H20" i="1"/>
  <c r="J20" i="1" s="1"/>
  <c r="L20" i="1" s="1"/>
  <c r="H21" i="1"/>
  <c r="J21" i="1" s="1"/>
  <c r="L21" i="1" s="1"/>
  <c r="H22" i="1"/>
  <c r="J22" i="1" s="1"/>
  <c r="L22" i="1" s="1"/>
  <c r="H23" i="1"/>
  <c r="J23" i="1" s="1"/>
  <c r="L23" i="1" s="1"/>
  <c r="H24" i="1"/>
  <c r="J24" i="1" s="1"/>
  <c r="L24" i="1" s="1"/>
  <c r="H25" i="1"/>
  <c r="J25" i="1" s="1"/>
  <c r="H26" i="1"/>
  <c r="J26" i="1" s="1"/>
  <c r="L3" i="1"/>
  <c r="H4" i="1"/>
  <c r="J4" i="1" s="1"/>
  <c r="L4" i="1" s="1"/>
  <c r="H5" i="1"/>
  <c r="J5" i="1" s="1"/>
  <c r="L5" i="1" s="1"/>
  <c r="H6" i="1"/>
  <c r="J6" i="1" s="1"/>
  <c r="L6" i="1" s="1"/>
  <c r="H7" i="1"/>
  <c r="J7" i="1" s="1"/>
  <c r="L7" i="1" s="1"/>
  <c r="H8" i="1"/>
  <c r="J8" i="1" s="1"/>
  <c r="L8" i="1" s="1"/>
  <c r="H9" i="1"/>
  <c r="J9" i="1" s="1"/>
  <c r="L9" i="1" s="1"/>
  <c r="H10" i="1"/>
  <c r="J10" i="1" s="1"/>
  <c r="L10" i="1" s="1"/>
  <c r="H11" i="1"/>
  <c r="J11" i="1" s="1"/>
  <c r="L11" i="1" s="1"/>
  <c r="H12" i="1"/>
  <c r="J12" i="1" s="1"/>
  <c r="L12" i="1" s="1"/>
  <c r="H13" i="1"/>
  <c r="J13" i="1" s="1"/>
  <c r="L13" i="1" s="1"/>
  <c r="H14" i="1"/>
  <c r="J14" i="1" s="1"/>
  <c r="L14" i="1" s="1"/>
  <c r="D3" i="1"/>
  <c r="D4" i="1"/>
  <c r="D5" i="1"/>
  <c r="D6" i="1"/>
  <c r="D7" i="1"/>
  <c r="D8" i="1"/>
  <c r="D9" i="1"/>
  <c r="D10" i="1"/>
  <c r="D11" i="1"/>
  <c r="D12" i="1"/>
  <c r="D13" i="1"/>
  <c r="D14" i="1"/>
  <c r="N3" i="1" l="1"/>
  <c r="M18" i="1"/>
  <c r="M12" i="1"/>
  <c r="L26" i="1"/>
  <c r="N26" i="1"/>
  <c r="M5" i="1"/>
  <c r="M4" i="1"/>
  <c r="N21" i="1"/>
  <c r="N20" i="1"/>
  <c r="N12" i="1"/>
  <c r="N11" i="1"/>
  <c r="N10" i="1"/>
  <c r="N9" i="1"/>
  <c r="N6" i="1"/>
  <c r="M21" i="1"/>
  <c r="N5" i="1"/>
  <c r="M20" i="1"/>
  <c r="N4" i="1"/>
  <c r="M19" i="1"/>
  <c r="L25" i="1"/>
  <c r="N25" i="1"/>
  <c r="M25" i="1"/>
  <c r="L16" i="1"/>
  <c r="M16" i="1"/>
  <c r="N16" i="1"/>
  <c r="L15" i="1"/>
  <c r="M15" i="1"/>
  <c r="N15" i="1"/>
  <c r="M11" i="1"/>
  <c r="N19" i="1"/>
  <c r="N18" i="1"/>
  <c r="M14" i="1"/>
  <c r="M13" i="1"/>
  <c r="M9" i="1"/>
  <c r="N17" i="1"/>
  <c r="M26" i="1"/>
  <c r="M10" i="1"/>
  <c r="M8" i="1"/>
  <c r="M23" i="1"/>
  <c r="M7" i="1"/>
  <c r="N22" i="1"/>
  <c r="M24" i="1"/>
  <c r="M22" i="1"/>
  <c r="M6" i="1"/>
  <c r="N14" i="1"/>
  <c r="N13" i="1"/>
  <c r="M17" i="1"/>
  <c r="N24" i="1"/>
  <c r="N8" i="1"/>
  <c r="N23" i="1"/>
  <c r="N7" i="1"/>
  <c r="M1" i="1" l="1"/>
  <c r="N1" i="1" s="1"/>
</calcChain>
</file>

<file path=xl/sharedStrings.xml><?xml version="1.0" encoding="utf-8"?>
<sst xmlns="http://schemas.openxmlformats.org/spreadsheetml/2006/main" count="59" uniqueCount="53">
  <si>
    <t>Campus</t>
  </si>
  <si>
    <t>Category</t>
  </si>
  <si>
    <t>Total Amount</t>
  </si>
  <si>
    <t>Month</t>
  </si>
  <si>
    <t>Year</t>
  </si>
  <si>
    <t>Alangilan</t>
  </si>
  <si>
    <t>ARASOF-Nasugbu</t>
  </si>
  <si>
    <t>Balayan</t>
  </si>
  <si>
    <t>JPLPC-Malvar</t>
  </si>
  <si>
    <t>Lemery</t>
  </si>
  <si>
    <t>Lipa</t>
  </si>
  <si>
    <t>Lobo</t>
  </si>
  <si>
    <t>Mabini</t>
  </si>
  <si>
    <t>Pablo Borbon</t>
  </si>
  <si>
    <t>Rosario</t>
  </si>
  <si>
    <t>San Juan</t>
  </si>
  <si>
    <t>Current Reading</t>
  </si>
  <si>
    <t>Mains</t>
  </si>
  <si>
    <t>CENTRAL</t>
  </si>
  <si>
    <t>Consumption
(in kWh)</t>
  </si>
  <si>
    <t>Solar</t>
  </si>
  <si>
    <t>Other</t>
  </si>
  <si>
    <t>Quarter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</si>
  <si>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</si>
  <si>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</si>
  <si>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</si>
  <si>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</si>
  <si>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</si>
  <si>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</si>
  <si>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</si>
  <si>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</si>
  <si>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</si>
  <si>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</si>
  <si>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</si>
  <si>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</si>
  <si>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Price 
per kWh</t>
  </si>
  <si>
    <t>Previous Reading</t>
  </si>
  <si>
    <t>Multiplier</t>
  </si>
  <si>
    <t>Total Consumption</t>
  </si>
  <si>
    <r>
      <t>Factor
(t CO</t>
    </r>
    <r>
      <rPr>
        <b/>
        <vertAlign val="subscript"/>
        <sz val="11"/>
        <rFont val="Calibri"/>
        <family val="2"/>
        <scheme val="minor"/>
      </rPr>
      <t>2</t>
    </r>
    <r>
      <rPr>
        <b/>
        <sz val="11"/>
        <rFont val="Calibri"/>
        <family val="2"/>
        <scheme val="minor"/>
      </rPr>
      <t>/kWh)</t>
    </r>
  </si>
  <si>
    <t>Factor
(kg CO2/kWh)</t>
  </si>
  <si>
    <t>Todate</t>
  </si>
  <si>
    <t xml:space="preserve">Notes: </t>
  </si>
  <si>
    <t xml:space="preserve">Please do not make any adjustment in the worksheets such as adding/deleting rows or columns. Thank you. </t>
  </si>
  <si>
    <t>2. There are 3 sheets in this workbook. 1-Notes 2- Electricity Consumption 3- Sample image of electricity bill where the multiplier can be found.</t>
  </si>
  <si>
    <t xml:space="preserve">3. Your input shall be in Sheet 2 only. </t>
  </si>
  <si>
    <t xml:space="preserve">1. There are two sources of electric power in the university- Solar Generated Power and the Third Party Supply Power. All electricity consumption shall be consolidated here. </t>
  </si>
  <si>
    <t xml:space="preserve">2. For solar generated power, the inverter unit has the monitor to measure the electricity produced and consumed. </t>
  </si>
  <si>
    <t xml:space="preserve">3. For third-party supply power, the monthly bill will reflect all the data that is needed in sheet no. 2. </t>
  </si>
  <si>
    <t>1. The Electricity Consumption GHG Calculator aims to measure the GHG emissions based on the monthly electricity consumption. The factor used in computing the CO2-equivalent is _____.</t>
  </si>
  <si>
    <t xml:space="preserve">4. The GHG emission will be automatically computed once the sheet has input. </t>
  </si>
  <si>
    <t>Sheet 2: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</si>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</sst>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\₱* #,##0.00_);_(\₱* \(#,##0.00\);_(\₱* &quot;-&quot;??_);_(@_)"/>
    <numFmt numFmtId="166" formatCode="#,##0\ &quot;kWh&quot;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vertAlign val="subscript"/>
      <sz val="11"/>
      <name val="Calibri"/>
      <family val="2"/>
      <scheme val="minor"/>
    </font>
    <font>
      <i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18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0" fontId="2" fillId="2" borderId="0" xfId="0" applyFont="1" applyFill="1" applyAlignment="1">
      <alignment vertical="center" wrapText="1"/>
    </xf>
    <xf numFmtId="0" fontId="0" fillId="2" borderId="0" xfId="0" applyFill="1"/>
    <xf numFmtId="18" fontId="0" fillId="2" borderId="0" xfId="0" applyNumberFormat="1" applyFill="1"/>
    <xf numFmtId="0" fontId="0" fillId="2" borderId="0" xfId="0" applyFill="1" applyAlignment="1">
      <alignment horizontal="center"/>
    </xf>
    <xf numFmtId="0" fontId="0" fillId="2" borderId="0" xfId="0" applyFill="1" applyProtection="1">
      <protection locked="0"/>
    </xf>
    <xf numFmtId="0" fontId="3" fillId="2" borderId="0" xfId="0" applyFont="1" applyFill="1" applyAlignment="1">
      <alignment horizontal="center"/>
    </xf>
    <xf numFmtId="0" fontId="6" fillId="0" borderId="1" xfId="0" applyFont="1" applyBorder="1" applyProtection="1">
      <protection locked="0"/>
    </xf>
    <xf numFmtId="14" fontId="6" fillId="0" borderId="1" xfId="0" applyNumberFormat="1" applyFont="1" applyBorder="1" applyProtection="1">
      <protection locked="0"/>
    </xf>
    <xf numFmtId="0" fontId="6" fillId="0" borderId="1" xfId="0" applyFont="1" applyBorder="1" applyAlignment="1" applyProtection="1">
      <alignment horizontal="center"/>
      <protection locked="0"/>
    </xf>
    <xf numFmtId="166" fontId="6" fillId="0" borderId="1" xfId="0" applyNumberFormat="1" applyFont="1" applyBorder="1" applyProtection="1">
      <protection locked="0"/>
    </xf>
    <xf numFmtId="165" fontId="6" fillId="0" borderId="1" xfId="1" applyNumberFormat="1" applyFont="1" applyFill="1" applyBorder="1" applyAlignment="1" applyProtection="1">
      <alignment vertical="center" wrapText="1"/>
      <protection locked="0"/>
    </xf>
    <xf numFmtId="165" fontId="6" fillId="0" borderId="1" xfId="1" applyNumberFormat="1" applyFont="1" applyFill="1" applyBorder="1" applyAlignment="1" applyProtection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3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wrapText="1"/>
      <protection locked="0"/>
    </xf>
    <xf numFmtId="0" fontId="6" fillId="0" borderId="3" xfId="0" applyFont="1" applyBorder="1" applyAlignment="1" applyProtection="1">
      <alignment horizontal="center" wrapText="1"/>
      <protection locked="0"/>
    </xf>
    <xf numFmtId="0" fontId="6" fillId="0" borderId="4" xfId="0" applyFont="1" applyBorder="1" applyAlignment="1" applyProtection="1">
      <alignment horizontal="center" wrapText="1"/>
      <protection locked="0"/>
    </xf>
    <xf numFmtId="166" fontId="6" fillId="4" borderId="1" xfId="0" applyNumberFormat="1" applyFont="1" applyFill="1" applyBorder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 applyProtection="1">
      <alignment vertical="center"/>
      <protection locked="0"/>
    </xf>
    <xf numFmtId="0" fontId="8" fillId="2" borderId="0" xfId="0" applyFont="1" applyFill="1" applyAlignment="1">
      <alignment horizontal="right" vertical="center"/>
    </xf>
    <xf numFmtId="0" fontId="6" fillId="4" borderId="1" xfId="0" applyFont="1" applyFill="1" applyBorder="1" applyAlignment="1">
      <alignment horizontal="center"/>
    </xf>
    <xf numFmtId="0" fontId="9" fillId="5" borderId="0" xfId="2" applyFill="1" applyBorder="1"/>
    <xf numFmtId="0" fontId="0" fillId="5" borderId="0" xfId="0" applyFill="1"/>
    <xf numFmtId="0" fontId="0" fillId="5" borderId="0" xfId="0" applyFill="1" applyAlignment="1">
      <alignment horizontal="left"/>
    </xf>
    <xf numFmtId="0" fontId="2" fillId="5" borderId="0" xfId="0" applyFont="1" applyFill="1"/>
    <xf numFmtId="0" fontId="10" fillId="5" borderId="0" xfId="0" applyFont="1" applyFill="1"/>
    <xf numFmtId="0" fontId="11" fillId="3" borderId="2" xfId="0" applyFont="1" applyFill="1" applyBorder="1" applyAlignment="1">
      <alignment vertical="center" wrapText="1"/>
    </xf>
  </cellXfs>
  <cellStyles count="3">
    <cellStyle name="Comma" xfId="1" builtinId="3"/>
    <cellStyle name="Hyperlink" xfId="2" builtinId="8"/>
    <cellStyle name="Normal" xfId="0" builtinId="0"/>
  </cellStyles>
  <dxfs count="19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(\₱* #,##0.00_);_(\₱* \(#,##0.00\);_(\₱* &quot;-&quot;??_);_(@_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(\₱* #,##0.00_);_(\₱* \(#,##0.00\);_(\₱* &quot;-&quot;??_);_(@_)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#,##0\ &quot;kWh&quot;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#,##0\ &quot;kWh&quot;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#,##0\ &quot;kWh&quot;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#,##0\ &quot;kWh&quot;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m/d/yyyy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border>
        <top style="thin">
          <color theme="0" tint="-0.34998626667073579"/>
        </top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BA193B-30FD-48F7-8E87-DF81EB03AA05}" name="Table13" displayName="Table13" ref="A2:N26" totalsRowShown="0" headerRowDxfId="18" dataDxfId="16" headerRowBorderDxfId="17" tableBorderDxfId="15" totalsRowBorderDxfId="14">
  <tableColumns count="14">
    <tableColumn id="1" xr3:uid="{8AEE678E-ECCA-43E8-8507-5AFD2E357ED1}" name="Campus" dataDxfId="13"/>
    <tableColumn id="5" xr3:uid="{425F1963-63EC-42A2-AE42-E381BCEEDD26}" name="Category" dataDxfId="12"/>
    <tableColumn id="4" xr3:uid="{94EB932D-D3B2-4B93-AD70-C695842422FE}" name="Month" dataDxfId="11"/>
    <tableColumn id="10" xr3:uid="{49B4E1F2-8AD0-49A5-B793-2978ECBBFCB6}" name="Quarter" dataDxfId="10">
      <calculatedColumnFormula>IF(C3="","",IF(OR(C3="January",C3="February",C3="March"),"Q1",IF(OR(C3="April",C3="May",C3="June"),"Q2",IF(OR(C3="July",C3="August",C3="September"),"Q3",IF(OR(C3="October",C3="November",C3="December"),"Q4")))))</calculatedColumnFormula>
    </tableColumn>
    <tableColumn id="8" xr3:uid="{F9E40748-71B5-469D-9417-FAC26A53685C}" name="Year" dataDxfId="9"/>
    <tableColumn id="11" xr3:uid="{CB145EE5-814A-4CE2-83D4-BA499355A9B2}" name="Previous Reading" dataDxfId="8"/>
    <tableColumn id="6" xr3:uid="{E444522B-6A56-4DD4-B9FB-C9AD00627D2F}" name="Current Reading" dataDxfId="7"/>
    <tableColumn id="2" xr3:uid="{A06D9F30-0657-4453-9AA2-E4773279766F}" name="Consumption_x000a_(in kWh)" dataDxfId="6">
      <calculatedColumnFormula>IF(OR(G3="",F3=""),"",G3-F3)</calculatedColumnFormula>
    </tableColumn>
    <tableColumn id="7" xr3:uid="{A6A37F69-50A4-4573-A725-9C76D0A0B13F}" name="Multiplier" dataDxfId="5"/>
    <tableColumn id="9" xr3:uid="{00A6C52F-2606-464F-8072-0681BC990575}" name="Total Consumption" dataDxfId="4">
      <calculatedColumnFormula>IFERROR(H3*I3,"")</calculatedColumnFormula>
    </tableColumn>
    <tableColumn id="12" xr3:uid="{10939EF1-5BDA-4AE2-89DC-CE0019D72ADE}" name="Total Amount" dataDxfId="3" dataCellStyle="Comma"/>
    <tableColumn id="14" xr3:uid="{7ED0F632-973D-4978-B508-78775B732FE7}" name="Price _x000a_per kWh" dataDxfId="2" dataCellStyle="Comma">
      <calculatedColumnFormula>IFERROR(K3/J3,"")</calculatedColumnFormula>
    </tableColumn>
    <tableColumn id="3" xr3:uid="{F550517A-6C8D-4B1C-B47B-171E3180B85A}" name="Factor_x000a_(kg CO2/kWh)" dataDxfId="1">
      <calculatedColumnFormula>IF(J3="","",0.7122*J3)</calculatedColumnFormula>
    </tableColumn>
    <tableColumn id="13" xr3:uid="{C7F2EEAC-6F4E-48A9-8AEB-09E36C43423B}" name="Factor_x000a_(t CO2/kWh)" dataDxfId="0">
      <calculatedColumnFormula>IF(J3="","",M3/1000)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086A5-FE8C-49E8-9F42-282C6DE37591}">
  <dimension ref="C7:Q27"/>
  <sheetViews>
    <sheetView workbookViewId="0">
      <selection activeCell="B7" sqref="B7:U22"/>
    </sheetView>
  </sheetViews>
  <sheetFormatPr defaultColWidth="9.109375" defaultRowHeight="14.4" x14ac:dyDescent="0.3"/>
  <cols>
    <col min="1" max="16384" width="9.109375" style="29"/>
  </cols>
  <sheetData>
    <row r="7" spans="3:7" x14ac:dyDescent="0.3">
      <c r="C7" s="31" t="s">
        <v>42</v>
      </c>
    </row>
    <row r="9" spans="3:7" x14ac:dyDescent="0.3">
      <c r="C9" s="29" t="s">
        <v>49</v>
      </c>
    </row>
    <row r="10" spans="3:7" x14ac:dyDescent="0.3">
      <c r="C10" s="29" t="s">
        <v>44</v>
      </c>
    </row>
    <row r="11" spans="3:7" x14ac:dyDescent="0.3">
      <c r="C11" s="29" t="s">
        <v>45</v>
      </c>
    </row>
    <row r="12" spans="3:7" x14ac:dyDescent="0.3">
      <c r="C12" s="30"/>
    </row>
    <row r="13" spans="3:7" x14ac:dyDescent="0.3">
      <c r="C13" s="32" t="s">
        <v>51</v>
      </c>
    </row>
    <row r="14" spans="3:7" x14ac:dyDescent="0.3">
      <c r="C14" s="29" t="s">
        <v>46</v>
      </c>
    </row>
    <row r="15" spans="3:7" x14ac:dyDescent="0.3">
      <c r="C15" s="30" t="s">
        <v>47</v>
      </c>
      <c r="G15" s="28"/>
    </row>
    <row r="16" spans="3:7" x14ac:dyDescent="0.3">
      <c r="C16" s="30" t="s">
        <v>48</v>
      </c>
    </row>
    <row r="17" spans="3:17" x14ac:dyDescent="0.3">
      <c r="C17" s="30" t="s">
        <v>50</v>
      </c>
    </row>
    <row r="18" spans="3:17" x14ac:dyDescent="0.3">
      <c r="C18" s="30"/>
    </row>
    <row r="19" spans="3:17" x14ac:dyDescent="0.3">
      <c r="C19" s="30" t="s">
        <v>43</v>
      </c>
    </row>
    <row r="20" spans="3:17" x14ac:dyDescent="0.3">
      <c r="C20" s="30"/>
    </row>
    <row r="21" spans="3:17" x14ac:dyDescent="0.3">
      <c r="C21" s="30"/>
      <c r="Q21" s="29" t="s">
        <v>52</v>
      </c>
    </row>
    <row r="22" spans="3:17" x14ac:dyDescent="0.3">
      <c r="C22" s="30"/>
    </row>
    <row r="23" spans="3:17" x14ac:dyDescent="0.3">
      <c r="C23" s="30"/>
    </row>
    <row r="24" spans="3:17" x14ac:dyDescent="0.3">
      <c r="C24" s="30"/>
    </row>
    <row r="26" spans="3:17" x14ac:dyDescent="0.3">
      <c r="C26" s="30"/>
    </row>
    <row r="27" spans="3:17" x14ac:dyDescent="0.3">
      <c r="C27" s="30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DA01-DAF7-4694-A653-B6F0DDEDFDE5}">
  <sheetPr>
    <tabColor theme="8" tint="-0.249977111117893"/>
    <pageSetUpPr fitToPage="1"/>
  </sheetPr>
  <dimension ref="A1:Q26"/>
  <sheetViews>
    <sheetView showGridLines="0" tabSelected="1" zoomScale="85" zoomScaleNormal="85" workbookViewId="0">
      <pane ySplit="2" topLeftCell="A3" activePane="bottomLeft" state="frozen"/>
      <selection pane="bottomLeft" activeCell="G7" sqref="G7"/>
    </sheetView>
  </sheetViews>
  <sheetFormatPr defaultColWidth="9.109375" defaultRowHeight="14.4" x14ac:dyDescent="0.3"/>
  <cols>
    <col min="1" max="1" width="18.109375" style="5" customWidth="1"/>
    <col min="2" max="2" width="13.33203125" style="5" customWidth="1"/>
    <col min="3" max="3" width="11.6640625" style="5" customWidth="1"/>
    <col min="4" max="4" width="8.5546875" style="7" bestFit="1" customWidth="1"/>
    <col min="5" max="5" width="8.5546875" style="7" customWidth="1"/>
    <col min="6" max="8" width="14" style="5" customWidth="1"/>
    <col min="9" max="9" width="10" style="8" bestFit="1" customWidth="1"/>
    <col min="10" max="10" width="14" style="5" customWidth="1"/>
    <col min="11" max="11" width="17.6640625" style="5" customWidth="1"/>
    <col min="12" max="12" width="12.44140625" style="9" customWidth="1"/>
    <col min="13" max="13" width="15.33203125" style="7" customWidth="1"/>
    <col min="14" max="14" width="15.33203125" style="5" customWidth="1"/>
    <col min="15" max="16384" width="9.109375" style="5"/>
  </cols>
  <sheetData>
    <row r="1" spans="1:17" s="23" customFormat="1" ht="27.75" customHeight="1" x14ac:dyDescent="0.3">
      <c r="D1" s="24"/>
      <c r="E1" s="24"/>
      <c r="I1" s="25"/>
      <c r="L1" s="26" t="s">
        <v>41</v>
      </c>
      <c r="M1" s="24">
        <f>SUM(Table13[Factor
(kg CO2/kWh)])</f>
        <v>22434.300000000003</v>
      </c>
      <c r="N1" s="24">
        <f>M1/1000</f>
        <v>22.434300000000004</v>
      </c>
    </row>
    <row r="2" spans="1:17" s="4" customFormat="1" ht="30" x14ac:dyDescent="0.3">
      <c r="A2" s="33" t="s">
        <v>0</v>
      </c>
      <c r="B2" s="16" t="s">
        <v>1</v>
      </c>
      <c r="C2" s="17" t="s">
        <v>3</v>
      </c>
      <c r="D2" s="16" t="s">
        <v>22</v>
      </c>
      <c r="E2" s="16" t="s">
        <v>4</v>
      </c>
      <c r="F2" s="16" t="s">
        <v>36</v>
      </c>
      <c r="G2" s="16" t="s">
        <v>16</v>
      </c>
      <c r="H2" s="16" t="s">
        <v>19</v>
      </c>
      <c r="I2" s="18" t="s">
        <v>37</v>
      </c>
      <c r="J2" s="16" t="s">
        <v>38</v>
      </c>
      <c r="K2" s="16" t="s">
        <v>2</v>
      </c>
      <c r="L2" s="16" t="s">
        <v>35</v>
      </c>
      <c r="M2" s="16" t="s">
        <v>40</v>
      </c>
      <c r="N2" s="16" t="s">
        <v>39</v>
      </c>
    </row>
    <row r="3" spans="1:17" x14ac:dyDescent="0.3">
      <c r="A3" s="10" t="s">
        <v>9</v>
      </c>
      <c r="B3" s="11" t="s">
        <v>20</v>
      </c>
      <c r="C3" s="10" t="s">
        <v>25</v>
      </c>
      <c r="D3" s="27" t="str">
        <f t="shared" ref="D3:D14" si="0">IF(C3="","",IF(OR(C3="January",C3="February",C3="March"),"Q1",IF(OR(C3="April",C3="May",C3="June"),"Q2",IF(OR(C3="July",C3="August",C3="September"),"Q3",IF(OR(C3="October",C3="November",C3="December"),"Q4")))))</f>
        <v>Q1</v>
      </c>
      <c r="E3" s="12"/>
      <c r="F3" s="13">
        <v>100</v>
      </c>
      <c r="G3" s="13">
        <v>190</v>
      </c>
      <c r="H3" s="22">
        <f>IF(OR(G3="",F3=""),"",G3-F3)</f>
        <v>90</v>
      </c>
      <c r="I3" s="10">
        <v>350</v>
      </c>
      <c r="J3" s="22">
        <f>IFERROR(H3*I3,"")</f>
        <v>31500</v>
      </c>
      <c r="K3" s="14"/>
      <c r="L3" s="15">
        <f t="shared" ref="L3:L26" si="1">IFERROR(K3/J3,"")</f>
        <v>0</v>
      </c>
      <c r="M3" s="19">
        <f t="shared" ref="M3:M26" si="2">IF(J3="","",0.7122*J3)</f>
        <v>22434.300000000003</v>
      </c>
      <c r="N3" s="20">
        <f t="shared" ref="N3:N26" si="3">IF(J3="","",M3/1000)</f>
        <v>22.434300000000004</v>
      </c>
    </row>
    <row r="4" spans="1:17" x14ac:dyDescent="0.3">
      <c r="A4" s="10"/>
      <c r="B4" s="11"/>
      <c r="C4" s="10"/>
      <c r="D4" s="27" t="str">
        <f t="shared" si="0"/>
        <v/>
      </c>
      <c r="E4" s="12"/>
      <c r="F4" s="13"/>
      <c r="G4" s="13"/>
      <c r="H4" s="22" t="str">
        <f t="shared" ref="H4:H14" si="4">IF(OR(G4="",F4=""),"",G4-F4)</f>
        <v/>
      </c>
      <c r="I4" s="10"/>
      <c r="J4" s="22" t="str">
        <f t="shared" ref="J4:J26" si="5">IFERROR(H4*I4,"")</f>
        <v/>
      </c>
      <c r="K4" s="14"/>
      <c r="L4" s="15" t="str">
        <f t="shared" si="1"/>
        <v/>
      </c>
      <c r="M4" s="19" t="str">
        <f t="shared" si="2"/>
        <v/>
      </c>
      <c r="N4" s="19" t="str">
        <f t="shared" si="3"/>
        <v/>
      </c>
    </row>
    <row r="5" spans="1:17" x14ac:dyDescent="0.3">
      <c r="A5" s="10"/>
      <c r="B5" s="11"/>
      <c r="C5" s="10"/>
      <c r="D5" s="27" t="str">
        <f t="shared" si="0"/>
        <v/>
      </c>
      <c r="E5" s="12"/>
      <c r="F5" s="13"/>
      <c r="G5" s="13"/>
      <c r="H5" s="22" t="str">
        <f t="shared" si="4"/>
        <v/>
      </c>
      <c r="I5" s="10"/>
      <c r="J5" s="22" t="str">
        <f t="shared" si="5"/>
        <v/>
      </c>
      <c r="K5" s="14"/>
      <c r="L5" s="15" t="str">
        <f t="shared" si="1"/>
        <v/>
      </c>
      <c r="M5" s="19" t="str">
        <f t="shared" si="2"/>
        <v/>
      </c>
      <c r="N5" s="19" t="str">
        <f t="shared" si="3"/>
        <v/>
      </c>
    </row>
    <row r="6" spans="1:17" x14ac:dyDescent="0.3">
      <c r="A6" s="10"/>
      <c r="B6" s="11"/>
      <c r="C6" s="10"/>
      <c r="D6" s="27" t="str">
        <f t="shared" si="0"/>
        <v/>
      </c>
      <c r="E6" s="12"/>
      <c r="F6" s="13"/>
      <c r="G6" s="13"/>
      <c r="H6" s="22" t="str">
        <f t="shared" si="4"/>
        <v/>
      </c>
      <c r="I6" s="10"/>
      <c r="J6" s="22" t="str">
        <f t="shared" si="5"/>
        <v/>
      </c>
      <c r="K6" s="14"/>
      <c r="L6" s="15" t="str">
        <f t="shared" si="1"/>
        <v/>
      </c>
      <c r="M6" s="19" t="str">
        <f t="shared" si="2"/>
        <v/>
      </c>
      <c r="N6" s="19" t="str">
        <f t="shared" si="3"/>
        <v/>
      </c>
    </row>
    <row r="7" spans="1:17" x14ac:dyDescent="0.3">
      <c r="A7" s="10"/>
      <c r="B7" s="11"/>
      <c r="C7" s="10"/>
      <c r="D7" s="27" t="str">
        <f t="shared" si="0"/>
        <v/>
      </c>
      <c r="E7" s="12"/>
      <c r="F7" s="13"/>
      <c r="G7" s="13"/>
      <c r="H7" s="22" t="str">
        <f t="shared" si="4"/>
        <v/>
      </c>
      <c r="I7" s="10"/>
      <c r="J7" s="22" t="str">
        <f t="shared" si="5"/>
        <v/>
      </c>
      <c r="K7" s="14"/>
      <c r="L7" s="15" t="str">
        <f t="shared" si="1"/>
        <v/>
      </c>
      <c r="M7" s="19" t="str">
        <f t="shared" si="2"/>
        <v/>
      </c>
      <c r="N7" s="19" t="str">
        <f t="shared" si="3"/>
        <v/>
      </c>
    </row>
    <row r="8" spans="1:17" x14ac:dyDescent="0.3">
      <c r="A8" s="10"/>
      <c r="B8" s="11"/>
      <c r="C8" s="10"/>
      <c r="D8" s="27" t="str">
        <f t="shared" si="0"/>
        <v/>
      </c>
      <c r="E8" s="12"/>
      <c r="F8" s="13"/>
      <c r="G8" s="13"/>
      <c r="H8" s="22" t="str">
        <f t="shared" si="4"/>
        <v/>
      </c>
      <c r="I8" s="10"/>
      <c r="J8" s="22" t="str">
        <f t="shared" si="5"/>
        <v/>
      </c>
      <c r="K8" s="14"/>
      <c r="L8" s="15" t="str">
        <f t="shared" si="1"/>
        <v/>
      </c>
      <c r="M8" s="19" t="str">
        <f t="shared" si="2"/>
        <v/>
      </c>
      <c r="N8" s="19" t="str">
        <f t="shared" si="3"/>
        <v/>
      </c>
    </row>
    <row r="9" spans="1:17" x14ac:dyDescent="0.3">
      <c r="A9" s="10"/>
      <c r="B9" s="11"/>
      <c r="C9" s="10"/>
      <c r="D9" s="27" t="str">
        <f t="shared" si="0"/>
        <v/>
      </c>
      <c r="E9" s="12"/>
      <c r="F9" s="13"/>
      <c r="G9" s="13"/>
      <c r="H9" s="22" t="str">
        <f t="shared" si="4"/>
        <v/>
      </c>
      <c r="I9" s="10"/>
      <c r="J9" s="22" t="str">
        <f t="shared" si="5"/>
        <v/>
      </c>
      <c r="K9" s="14"/>
      <c r="L9" s="15" t="str">
        <f t="shared" si="1"/>
        <v/>
      </c>
      <c r="M9" s="19" t="str">
        <f t="shared" si="2"/>
        <v/>
      </c>
      <c r="N9" s="19" t="str">
        <f t="shared" si="3"/>
        <v/>
      </c>
    </row>
    <row r="10" spans="1:17" x14ac:dyDescent="0.3">
      <c r="A10" s="10"/>
      <c r="B10" s="11"/>
      <c r="C10" s="10"/>
      <c r="D10" s="27" t="str">
        <f t="shared" si="0"/>
        <v/>
      </c>
      <c r="E10" s="12"/>
      <c r="F10" s="13"/>
      <c r="G10" s="13"/>
      <c r="H10" s="22" t="str">
        <f t="shared" si="4"/>
        <v/>
      </c>
      <c r="I10" s="10"/>
      <c r="J10" s="22" t="str">
        <f t="shared" si="5"/>
        <v/>
      </c>
      <c r="K10" s="14"/>
      <c r="L10" s="15" t="str">
        <f t="shared" si="1"/>
        <v/>
      </c>
      <c r="M10" s="19" t="str">
        <f t="shared" si="2"/>
        <v/>
      </c>
      <c r="N10" s="19" t="str">
        <f t="shared" si="3"/>
        <v/>
      </c>
    </row>
    <row r="11" spans="1:17" x14ac:dyDescent="0.3">
      <c r="A11" s="10"/>
      <c r="B11" s="11"/>
      <c r="C11" s="10"/>
      <c r="D11" s="27" t="str">
        <f t="shared" si="0"/>
        <v/>
      </c>
      <c r="E11" s="12"/>
      <c r="F11" s="13"/>
      <c r="G11" s="13"/>
      <c r="H11" s="22" t="str">
        <f t="shared" si="4"/>
        <v/>
      </c>
      <c r="I11" s="10"/>
      <c r="J11" s="22" t="str">
        <f t="shared" si="5"/>
        <v/>
      </c>
      <c r="K11" s="14"/>
      <c r="L11" s="15" t="str">
        <f t="shared" si="1"/>
        <v/>
      </c>
      <c r="M11" s="19" t="str">
        <f t="shared" si="2"/>
        <v/>
      </c>
      <c r="N11" s="19" t="str">
        <f t="shared" si="3"/>
        <v/>
      </c>
    </row>
    <row r="12" spans="1:17" x14ac:dyDescent="0.3">
      <c r="A12" s="10"/>
      <c r="B12" s="11"/>
      <c r="C12" s="10"/>
      <c r="D12" s="27" t="str">
        <f t="shared" si="0"/>
        <v/>
      </c>
      <c r="E12" s="12"/>
      <c r="F12" s="13"/>
      <c r="G12" s="13"/>
      <c r="H12" s="22" t="str">
        <f t="shared" si="4"/>
        <v/>
      </c>
      <c r="I12" s="10"/>
      <c r="J12" s="22" t="str">
        <f t="shared" si="5"/>
        <v/>
      </c>
      <c r="K12" s="14"/>
      <c r="L12" s="15" t="str">
        <f t="shared" si="1"/>
        <v/>
      </c>
      <c r="M12" s="19" t="str">
        <f t="shared" si="2"/>
        <v/>
      </c>
      <c r="N12" s="19" t="str">
        <f t="shared" si="3"/>
        <v/>
      </c>
    </row>
    <row r="13" spans="1:17" x14ac:dyDescent="0.3">
      <c r="A13" s="10"/>
      <c r="B13" s="11"/>
      <c r="C13" s="10"/>
      <c r="D13" s="27" t="str">
        <f t="shared" si="0"/>
        <v/>
      </c>
      <c r="E13" s="12"/>
      <c r="F13" s="13"/>
      <c r="G13" s="13"/>
      <c r="H13" s="22" t="str">
        <f t="shared" si="4"/>
        <v/>
      </c>
      <c r="I13" s="10"/>
      <c r="J13" s="22" t="str">
        <f t="shared" si="5"/>
        <v/>
      </c>
      <c r="K13" s="14"/>
      <c r="L13" s="15" t="str">
        <f t="shared" si="1"/>
        <v/>
      </c>
      <c r="M13" s="19" t="str">
        <f t="shared" si="2"/>
        <v/>
      </c>
      <c r="N13" s="19" t="str">
        <f t="shared" si="3"/>
        <v/>
      </c>
      <c r="Q13" s="6"/>
    </row>
    <row r="14" spans="1:17" x14ac:dyDescent="0.3">
      <c r="A14" s="10"/>
      <c r="B14" s="11"/>
      <c r="C14" s="10"/>
      <c r="D14" s="27" t="str">
        <f t="shared" si="0"/>
        <v/>
      </c>
      <c r="E14" s="12"/>
      <c r="F14" s="13"/>
      <c r="G14" s="13"/>
      <c r="H14" s="22" t="str">
        <f t="shared" si="4"/>
        <v/>
      </c>
      <c r="I14" s="10"/>
      <c r="J14" s="22" t="str">
        <f t="shared" si="5"/>
        <v/>
      </c>
      <c r="K14" s="14"/>
      <c r="L14" s="15" t="str">
        <f t="shared" si="1"/>
        <v/>
      </c>
      <c r="M14" s="19" t="str">
        <f t="shared" si="2"/>
        <v/>
      </c>
      <c r="N14" s="19" t="str">
        <f t="shared" si="3"/>
        <v/>
      </c>
    </row>
    <row r="15" spans="1:17" x14ac:dyDescent="0.3">
      <c r="A15" s="10"/>
      <c r="B15" s="11"/>
      <c r="C15" s="10"/>
      <c r="D15" s="27" t="str">
        <f t="shared" ref="D15:D26" si="6">IF(C15="","",IF(OR(C15="January",C15="February",C15="March"),"Q1",IF(OR(C15="April",C15="May",C15="June"),"Q2",IF(OR(C15="July",C15="August",C15="September"),"Q3",IF(OR(C15="October",C15="November",C15="December"),"Q4")))))</f>
        <v/>
      </c>
      <c r="E15" s="12"/>
      <c r="F15" s="10"/>
      <c r="G15" s="13"/>
      <c r="H15" s="22" t="str">
        <f t="shared" ref="H15:H26" si="7">IF(OR(G15="",F15=""),"",G15-F15)</f>
        <v/>
      </c>
      <c r="I15" s="10"/>
      <c r="J15" s="22" t="str">
        <f t="shared" si="5"/>
        <v/>
      </c>
      <c r="K15" s="14"/>
      <c r="L15" s="15" t="str">
        <f t="shared" si="1"/>
        <v/>
      </c>
      <c r="M15" s="19" t="str">
        <f t="shared" si="2"/>
        <v/>
      </c>
      <c r="N15" s="19" t="str">
        <f t="shared" si="3"/>
        <v/>
      </c>
    </row>
    <row r="16" spans="1:17" x14ac:dyDescent="0.3">
      <c r="A16" s="10"/>
      <c r="B16" s="11"/>
      <c r="C16" s="10"/>
      <c r="D16" s="27" t="str">
        <f t="shared" si="6"/>
        <v/>
      </c>
      <c r="E16" s="12"/>
      <c r="F16" s="10"/>
      <c r="G16" s="13"/>
      <c r="H16" s="22" t="str">
        <f t="shared" si="7"/>
        <v/>
      </c>
      <c r="I16" s="10"/>
      <c r="J16" s="22" t="str">
        <f t="shared" si="5"/>
        <v/>
      </c>
      <c r="K16" s="14"/>
      <c r="L16" s="15" t="str">
        <f t="shared" si="1"/>
        <v/>
      </c>
      <c r="M16" s="19" t="str">
        <f t="shared" si="2"/>
        <v/>
      </c>
      <c r="N16" s="19" t="str">
        <f t="shared" si="3"/>
        <v/>
      </c>
    </row>
    <row r="17" spans="1:14" x14ac:dyDescent="0.3">
      <c r="A17" s="10"/>
      <c r="B17" s="11"/>
      <c r="C17" s="10"/>
      <c r="D17" s="27" t="str">
        <f t="shared" si="6"/>
        <v/>
      </c>
      <c r="E17" s="12"/>
      <c r="F17" s="10"/>
      <c r="G17" s="13"/>
      <c r="H17" s="22" t="str">
        <f t="shared" si="7"/>
        <v/>
      </c>
      <c r="I17" s="10"/>
      <c r="J17" s="22" t="str">
        <f t="shared" si="5"/>
        <v/>
      </c>
      <c r="K17" s="14"/>
      <c r="L17" s="15" t="str">
        <f t="shared" si="1"/>
        <v/>
      </c>
      <c r="M17" s="19" t="str">
        <f t="shared" si="2"/>
        <v/>
      </c>
      <c r="N17" s="19" t="str">
        <f t="shared" si="3"/>
        <v/>
      </c>
    </row>
    <row r="18" spans="1:14" x14ac:dyDescent="0.3">
      <c r="A18" s="10"/>
      <c r="B18" s="11"/>
      <c r="C18" s="10"/>
      <c r="D18" s="27" t="str">
        <f t="shared" si="6"/>
        <v/>
      </c>
      <c r="E18" s="12"/>
      <c r="F18" s="10"/>
      <c r="G18" s="13"/>
      <c r="H18" s="22" t="str">
        <f t="shared" si="7"/>
        <v/>
      </c>
      <c r="I18" s="10"/>
      <c r="J18" s="22" t="str">
        <f t="shared" si="5"/>
        <v/>
      </c>
      <c r="K18" s="14"/>
      <c r="L18" s="15" t="str">
        <f t="shared" si="1"/>
        <v/>
      </c>
      <c r="M18" s="19" t="str">
        <f t="shared" si="2"/>
        <v/>
      </c>
      <c r="N18" s="19" t="str">
        <f t="shared" si="3"/>
        <v/>
      </c>
    </row>
    <row r="19" spans="1:14" x14ac:dyDescent="0.3">
      <c r="A19" s="10"/>
      <c r="B19" s="11"/>
      <c r="C19" s="10"/>
      <c r="D19" s="27" t="str">
        <f t="shared" si="6"/>
        <v/>
      </c>
      <c r="E19" s="12"/>
      <c r="F19" s="10"/>
      <c r="G19" s="13"/>
      <c r="H19" s="22" t="str">
        <f t="shared" si="7"/>
        <v/>
      </c>
      <c r="I19" s="10"/>
      <c r="J19" s="22" t="str">
        <f t="shared" si="5"/>
        <v/>
      </c>
      <c r="K19" s="14"/>
      <c r="L19" s="15" t="str">
        <f t="shared" si="1"/>
        <v/>
      </c>
      <c r="M19" s="19" t="str">
        <f t="shared" si="2"/>
        <v/>
      </c>
      <c r="N19" s="19" t="str">
        <f t="shared" si="3"/>
        <v/>
      </c>
    </row>
    <row r="20" spans="1:14" x14ac:dyDescent="0.3">
      <c r="A20" s="10"/>
      <c r="B20" s="11"/>
      <c r="C20" s="10"/>
      <c r="D20" s="27" t="str">
        <f t="shared" si="6"/>
        <v/>
      </c>
      <c r="E20" s="12"/>
      <c r="F20" s="10"/>
      <c r="G20" s="13"/>
      <c r="H20" s="22" t="str">
        <f t="shared" si="7"/>
        <v/>
      </c>
      <c r="I20" s="10"/>
      <c r="J20" s="22" t="str">
        <f t="shared" si="5"/>
        <v/>
      </c>
      <c r="K20" s="14"/>
      <c r="L20" s="15" t="str">
        <f t="shared" si="1"/>
        <v/>
      </c>
      <c r="M20" s="19" t="str">
        <f t="shared" si="2"/>
        <v/>
      </c>
      <c r="N20" s="19" t="str">
        <f t="shared" si="3"/>
        <v/>
      </c>
    </row>
    <row r="21" spans="1:14" x14ac:dyDescent="0.3">
      <c r="A21" s="10"/>
      <c r="B21" s="11"/>
      <c r="C21" s="10"/>
      <c r="D21" s="27" t="str">
        <f t="shared" si="6"/>
        <v/>
      </c>
      <c r="E21" s="12"/>
      <c r="F21" s="10"/>
      <c r="G21" s="13"/>
      <c r="H21" s="22" t="str">
        <f t="shared" si="7"/>
        <v/>
      </c>
      <c r="I21" s="10"/>
      <c r="J21" s="22" t="str">
        <f t="shared" si="5"/>
        <v/>
      </c>
      <c r="K21" s="14"/>
      <c r="L21" s="15" t="str">
        <f t="shared" si="1"/>
        <v/>
      </c>
      <c r="M21" s="19" t="str">
        <f t="shared" si="2"/>
        <v/>
      </c>
      <c r="N21" s="19" t="str">
        <f t="shared" si="3"/>
        <v/>
      </c>
    </row>
    <row r="22" spans="1:14" x14ac:dyDescent="0.3">
      <c r="A22" s="10"/>
      <c r="B22" s="11"/>
      <c r="C22" s="10"/>
      <c r="D22" s="27" t="str">
        <f t="shared" si="6"/>
        <v/>
      </c>
      <c r="E22" s="12"/>
      <c r="F22" s="10"/>
      <c r="G22" s="13"/>
      <c r="H22" s="22" t="str">
        <f t="shared" si="7"/>
        <v/>
      </c>
      <c r="I22" s="10"/>
      <c r="J22" s="22" t="str">
        <f t="shared" si="5"/>
        <v/>
      </c>
      <c r="K22" s="14"/>
      <c r="L22" s="15" t="str">
        <f t="shared" si="1"/>
        <v/>
      </c>
      <c r="M22" s="19" t="str">
        <f t="shared" si="2"/>
        <v/>
      </c>
      <c r="N22" s="19" t="str">
        <f t="shared" si="3"/>
        <v/>
      </c>
    </row>
    <row r="23" spans="1:14" x14ac:dyDescent="0.3">
      <c r="A23" s="10"/>
      <c r="B23" s="11"/>
      <c r="C23" s="10"/>
      <c r="D23" s="27" t="str">
        <f t="shared" si="6"/>
        <v/>
      </c>
      <c r="E23" s="12"/>
      <c r="F23" s="10"/>
      <c r="G23" s="13"/>
      <c r="H23" s="22" t="str">
        <f t="shared" si="7"/>
        <v/>
      </c>
      <c r="I23" s="10"/>
      <c r="J23" s="22" t="str">
        <f t="shared" si="5"/>
        <v/>
      </c>
      <c r="K23" s="14"/>
      <c r="L23" s="15" t="str">
        <f t="shared" si="1"/>
        <v/>
      </c>
      <c r="M23" s="19" t="str">
        <f t="shared" si="2"/>
        <v/>
      </c>
      <c r="N23" s="19" t="str">
        <f t="shared" si="3"/>
        <v/>
      </c>
    </row>
    <row r="24" spans="1:14" x14ac:dyDescent="0.3">
      <c r="A24" s="10"/>
      <c r="B24" s="11"/>
      <c r="C24" s="10"/>
      <c r="D24" s="27" t="str">
        <f t="shared" si="6"/>
        <v/>
      </c>
      <c r="E24" s="12"/>
      <c r="F24" s="10"/>
      <c r="G24" s="13"/>
      <c r="H24" s="22" t="str">
        <f t="shared" si="7"/>
        <v/>
      </c>
      <c r="I24" s="10"/>
      <c r="J24" s="22" t="str">
        <f t="shared" si="5"/>
        <v/>
      </c>
      <c r="K24" s="14"/>
      <c r="L24" s="15" t="str">
        <f t="shared" si="1"/>
        <v/>
      </c>
      <c r="M24" s="19" t="str">
        <f t="shared" si="2"/>
        <v/>
      </c>
      <c r="N24" s="19" t="str">
        <f t="shared" si="3"/>
        <v/>
      </c>
    </row>
    <row r="25" spans="1:14" x14ac:dyDescent="0.3">
      <c r="A25" s="10"/>
      <c r="B25" s="11"/>
      <c r="C25" s="10"/>
      <c r="D25" s="27" t="str">
        <f t="shared" si="6"/>
        <v/>
      </c>
      <c r="E25" s="12"/>
      <c r="F25" s="10"/>
      <c r="G25" s="13"/>
      <c r="H25" s="22" t="str">
        <f t="shared" si="7"/>
        <v/>
      </c>
      <c r="I25" s="10"/>
      <c r="J25" s="22" t="str">
        <f t="shared" si="5"/>
        <v/>
      </c>
      <c r="K25" s="14"/>
      <c r="L25" s="15" t="str">
        <f t="shared" si="1"/>
        <v/>
      </c>
      <c r="M25" s="19" t="str">
        <f t="shared" si="2"/>
        <v/>
      </c>
      <c r="N25" s="19" t="str">
        <f t="shared" si="3"/>
        <v/>
      </c>
    </row>
    <row r="26" spans="1:14" x14ac:dyDescent="0.3">
      <c r="A26" s="10"/>
      <c r="B26" s="11"/>
      <c r="C26" s="10"/>
      <c r="D26" s="27" t="str">
        <f t="shared" si="6"/>
        <v/>
      </c>
      <c r="E26" s="12"/>
      <c r="F26" s="10"/>
      <c r="G26" s="13"/>
      <c r="H26" s="22" t="str">
        <f t="shared" si="7"/>
        <v/>
      </c>
      <c r="I26" s="10"/>
      <c r="J26" s="22" t="str">
        <f t="shared" si="5"/>
        <v/>
      </c>
      <c r="K26" s="14"/>
      <c r="L26" s="15" t="str">
        <f t="shared" si="1"/>
        <v/>
      </c>
      <c r="M26" s="19" t="str">
        <f t="shared" si="2"/>
        <v/>
      </c>
      <c r="N26" s="21" t="str">
        <f t="shared" si="3"/>
        <v/>
      </c>
    </row>
  </sheetData>
  <sheetProtection selectLockedCells="1"/>
  <phoneticPr fontId="4" type="noConversion"/>
  <dataValidations count="8">
    <dataValidation type="list" allowBlank="1" showInputMessage="1" showErrorMessage="1" sqref="A3:A26" xr:uid="{D54003B7-A325-4E81-B2BC-5350DDF83CBD}">
      <formula1>campus</formula1>
    </dataValidation>
    <dataValidation type="list" operator="lessThanOrEqual" showInputMessage="1" showErrorMessage="1" errorTitle="Date Field" error="Enter a valid date!" sqref="B3:B26" xr:uid="{60BA290B-28A9-4366-92FA-35E857B33DD6}">
      <formula1>WaterCat</formula1>
    </dataValidation>
    <dataValidation type="list" allowBlank="1" showInputMessage="1" showErrorMessage="1" sqref="C3:C26" xr:uid="{40C8F83F-C737-44A6-A180-A32F803863D0}">
      <formula1>month</formula1>
    </dataValidation>
    <dataValidation allowBlank="1" showInputMessage="1" showErrorMessage="1" promptTitle="Category" prompt="Mains_x000a_-Meralco_x000a_-Batelec" sqref="B2" xr:uid="{8FE2B952-1A68-47AD-A678-9EA07CB4D479}"/>
    <dataValidation allowBlank="1" showInputMessage="1" showErrorMessage="1" promptTitle="Campus" prompt="Select from the list." sqref="A2" xr:uid="{82B7D758-8BCF-4380-BA19-41EA08D1ED8B}"/>
    <dataValidation allowBlank="1" showInputMessage="1" showErrorMessage="1" prompt="This is automated cell." sqref="D2" xr:uid="{FA7811A4-9CFD-4117-80AE-3349578DACA9}"/>
    <dataValidation allowBlank="1" showInputMessage="1" showErrorMessage="1" prompt="Automated cell._x000a_Current reading less Previous reading." sqref="H3" xr:uid="{992C2ED6-E88C-4B6A-BD29-3BE6A4458AFE}"/>
    <dataValidation allowBlank="1" showInputMessage="1" showErrorMessage="1" promptTitle="Calculated field." prompt=" _x000a_Amount divided by Consumption." sqref="L2" xr:uid="{7E025DFC-9CEB-4A03-BC8A-23C7BE7E4241}"/>
  </dataValidations>
  <pageMargins left="0.7" right="0.7" top="1.1652083333333334" bottom="0.75" header="0.3" footer="0.3"/>
  <pageSetup paperSize="14" scale="94" fitToHeight="0" orientation="landscape" horizontalDpi="0" verticalDpi="0" r:id="rId1"/>
  <headerFooter>
    <oddHeader>&amp;L&amp;G&amp;C&amp;"Arial Nova,Bold"&amp;16
Electricity Consumption Report</oddHeader>
    <oddFooter>&amp;C&amp;9Prepared by Data Analyst &amp;D&amp;R&amp;9&amp;Z&amp;F   &amp;"-,Italic"Page &amp;P of &amp;N</oddFooter>
  </headerFooter>
  <ignoredErrors>
    <ignoredError sqref="B4:B26" listDataValidation="1"/>
    <ignoredError sqref="M3:N26" unlockedFormula="1"/>
  </ignoredErrors>
  <legacyDrawingHF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F7619-B915-4EEC-A4B2-2C4191E73B9A}">
  <dimension ref="A1:C14"/>
  <sheetViews>
    <sheetView workbookViewId="0">
      <selection activeCell="C35" sqref="C35"/>
    </sheetView>
  </sheetViews>
  <sheetFormatPr defaultRowHeight="14.4" x14ac:dyDescent="0.3"/>
  <cols>
    <col min="1" max="1" width="21.88671875" customWidth="1"/>
    <col min="2" max="2" width="22.88671875" bestFit="1" customWidth="1"/>
    <col min="3" max="3" width="16" customWidth="1"/>
  </cols>
  <sheetData>
    <row r="1" spans="1:3" x14ac:dyDescent="0.3">
      <c r="A1" s="2" t="s">
        <v>0</v>
      </c>
      <c r="B1" s="2" t="s">
        <v>1</v>
      </c>
      <c r="C1" s="2" t="s">
        <v>3</v>
      </c>
    </row>
    <row r="2" spans="1:3" x14ac:dyDescent="0.3">
      <c r="A2" s="3" t="s">
        <v>5</v>
      </c>
      <c r="B2" t="s">
        <v>17</v>
      </c>
      <c r="C2" s="1" t="s">
        <v>23</v>
      </c>
    </row>
    <row r="3" spans="1:3" x14ac:dyDescent="0.3">
      <c r="A3" s="3" t="s">
        <v>6</v>
      </c>
      <c r="B3" t="s">
        <v>20</v>
      </c>
      <c r="C3" s="1" t="s">
        <v>24</v>
      </c>
    </row>
    <row r="4" spans="1:3" x14ac:dyDescent="0.3">
      <c r="A4" s="3" t="s">
        <v>7</v>
      </c>
      <c r="B4" t="s">
        <v>21</v>
      </c>
      <c r="C4" s="1" t="s">
        <v>25</v>
      </c>
    </row>
    <row r="5" spans="1:3" x14ac:dyDescent="0.3">
      <c r="A5" s="3" t="s">
        <v>8</v>
      </c>
      <c r="C5" s="1" t="s">
        <v>26</v>
      </c>
    </row>
    <row r="6" spans="1:3" x14ac:dyDescent="0.3">
      <c r="A6" s="3" t="s">
        <v>9</v>
      </c>
      <c r="C6" s="1" t="s">
        <v>27</v>
      </c>
    </row>
    <row r="7" spans="1:3" x14ac:dyDescent="0.3">
      <c r="A7" s="3" t="s">
        <v>10</v>
      </c>
      <c r="C7" s="1" t="s">
        <v>28</v>
      </c>
    </row>
    <row r="8" spans="1:3" x14ac:dyDescent="0.3">
      <c r="A8" s="3" t="s">
        <v>11</v>
      </c>
      <c r="C8" s="1" t="s">
        <v>29</v>
      </c>
    </row>
    <row r="9" spans="1:3" x14ac:dyDescent="0.3">
      <c r="A9" s="3" t="s">
        <v>12</v>
      </c>
      <c r="C9" s="1" t="s">
        <v>30</v>
      </c>
    </row>
    <row r="10" spans="1:3" x14ac:dyDescent="0.3">
      <c r="A10" s="3" t="s">
        <v>13</v>
      </c>
      <c r="C10" s="1" t="s">
        <v>31</v>
      </c>
    </row>
    <row r="11" spans="1:3" x14ac:dyDescent="0.3">
      <c r="A11" s="3" t="s">
        <v>14</v>
      </c>
      <c r="C11" s="1" t="s">
        <v>32</v>
      </c>
    </row>
    <row r="12" spans="1:3" x14ac:dyDescent="0.3">
      <c r="A12" s="3" t="s">
        <v>15</v>
      </c>
      <c r="C12" s="1" t="s">
        <v>33</v>
      </c>
    </row>
    <row r="13" spans="1:3" x14ac:dyDescent="0.3">
      <c r="A13" s="3" t="s">
        <v>18</v>
      </c>
      <c r="C13" s="1" t="s">
        <v>34</v>
      </c>
    </row>
    <row r="14" spans="1:3" x14ac:dyDescent="0.3">
      <c r="C14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Notes</vt:lpstr>
      <vt:lpstr>Electricity Consumption</vt:lpstr>
      <vt:lpstr>DROPDOWN</vt:lpstr>
      <vt:lpstr>campus</vt:lpstr>
      <vt:lpstr>category</vt:lpstr>
      <vt:lpstr>month</vt:lpstr>
      <vt:lpstr>'Electricity Consumption'!Print_Titles</vt:lpstr>
      <vt:lpstr>WaterCat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Analyst</dc:creator>
  <cp:lastModifiedBy>Richelle Sulit</cp:lastModifiedBy>
  <cp:lastPrinted>2023-07-04T06:06:58Z</cp:lastPrinted>
  <dcterms:created xsi:type="dcterms:W3CDTF">2023-05-23T03:38:19Z</dcterms:created>
  <dcterms:modified xsi:type="dcterms:W3CDTF">2025-12-09T06:12:53Z</dcterms:modified>
</cp:coreProperties>
</file>